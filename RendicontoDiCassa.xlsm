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Bilancio" sheetId="5" r:id="rId3"/>
    <sheet name="Rapporti" sheetId="3" r:id="rId4"/>
    <sheet name="Info" sheetId="4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4" i="1" l="1"/>
  <c r="A85" i="1" s="1"/>
  <c r="A86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<sst xmlns="http://schemas.openxmlformats.org/spreadsheetml/2006/main" count="208" uniqueCount="173">
  <si>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</si>
  <si>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</si>
  <si>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</si>
  <si>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</si>
  <si>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</si>
  <si>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</si>
  <si>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</si>
  <si>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</si>
  <si>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</si>
  <si>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</si>
  <si>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</si>
  <si>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</si>
  <si>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</si>
  <si>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</si>
  <si>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</si>
  <si>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</si>
  <si>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</si>
  <si>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</si>
  <si>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</si>
  <si>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</si>
  <si>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</si>
  <si>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</si>
  <si>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</si>
  <si>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</si>
  <si>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</si>
  <si>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</si>
  <si>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</si>
  <si>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</si>
  <si>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</si>
  <si>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</si>
  <si>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</si>
  <si>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</si>
  <si>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</si>
  <si>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</si>
  <si>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</si>
  <si>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</si>
  <si>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</si>
  <si>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</si>
  <si>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</si>
  <si>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</si>
  <si>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</si>
  <si>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</si>
  <si>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</si>
  <si>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</si>
  <si>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</si>
  <si>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</si>
  <si>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</si>
  <si>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</si>
  <si>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</si>
  <si>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</si>
  <si>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</si>
  <si>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</si>
  <si>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</si>
  <si>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</si>
  <si>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</si>
  <si>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</si>
  <si>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</si>
  <si>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</si>
  <si>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</si>
  <si>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</si>
  <si>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</si>
  <si>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</si>
  <si>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</si>
  <si>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</si>
  <si>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</si>
  <si>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</si>
  <si>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</si>
  <si>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</si>
  <si>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</si>
  <si>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</si>
  <si>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</si>
  <si>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</si>
  <si>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</si>
  <si>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</si>
  <si>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</si>
  <si>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</si>
  <si>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</si>
  <si>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</si>
  <si>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</si>
  <si>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</si>
  <si>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</si>
  <si>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</si>
  <si>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</si>
  <si>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</si>
  <si>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</si>
  <si>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</si>
  <si>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</si>
  <si>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</si>
  <si>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</si>
  <si>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</si>
  <si>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</si>
  <si>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</si>
  <si>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</si>
  <si>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</si>
  <si>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</si>
  <si>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</si>
  <si>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</si>
  <si>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</si>
  <si>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</si>
  <si>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</si>
  <si>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</si>
  <si>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</si>
  <si>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</si>
  <si>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</si>
  <si>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</si>
  <si>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</si>
  <si>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</si>
  <si>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</si>
  <si>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</si>
  <si>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</si>
  <si>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</si>
  <si>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Classificazione</t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</si>
  <si>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</si>
  <si>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</si>
  <si>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</si>
  <si>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</si>
  <si>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</si>
  <si>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</si>
  <si>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</si>
  <si>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</si>
  <si>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</si>
  <si>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</si>
  <si>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</si>
  <si>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</si>
  <si>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</si>
  <si>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</si>
  <si>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Z.Z.1/Saldo iniziale</t>
  </si>
  <si>
    <t>Saldo</t>
  </si>
  <si>
    <t>Product</t>
  </si>
  <si>
    <t>value</t>
  </si>
  <si>
    <t>total</t>
  </si>
  <si>
    <t>apple</t>
  </si>
  <si>
    <t>pear</t>
  </si>
  <si>
    <t>prova di descrizione</t>
  </si>
  <si>
    <t>E.A.10/Altre entrate</t>
  </si>
  <si>
    <t>A) Uscite da attività di interesse generale</t>
  </si>
  <si>
    <t>1) Materie prime, sussidiarie, di consumo e di merci</t>
  </si>
  <si>
    <t>2) Servizi</t>
  </si>
  <si>
    <t>3) Godimento beni di terzi</t>
  </si>
  <si>
    <t>4) Personale</t>
  </si>
  <si>
    <t>5) Uscite diverse di gestione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</si>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</sst>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</cellXfs>
  <cellStyles count="2">
    <cellStyle name="Collegamento ipertestuale" xfId="1" builtinId="8"/>
    <cellStyle name="Normale" xfId="0" builtinId="0"/>
  </cellStyles>
  <dxfs count="10">
    <dxf>
      <font>
        <color theme="0"/>
      </font>
    </dxf>
    <dxf>
      <numFmt numFmtId="164" formatCode="0;\-0;;@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176622</xdr:colOff>
      <xdr:row>1</xdr:row>
      <xdr:rowOff>138773</xdr:rowOff>
    </xdr:from>
    <xdr:to>
      <xdr:col>13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il 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8</xdr:col>
          <xdr:colOff>557699</xdr:colOff>
          <xdr:row>3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140932</xdr:colOff>
      <xdr:row>1</xdr:row>
      <xdr:rowOff>160369</xdr:rowOff>
    </xdr:from>
    <xdr:to>
      <xdr:col>11</xdr:col>
      <xdr:colOff>179809</xdr:colOff>
      <xdr:row>3</xdr:row>
      <xdr:rowOff>87474</xdr:rowOff>
    </xdr:to>
    <xdr:sp macro="[0]!CalcolaBilancio" textlink="">
      <xdr:nvSpPr>
        <xdr:cNvPr id="2" name="Rettangolo arrotondato 1"/>
        <xdr:cNvSpPr/>
      </xdr:nvSpPr>
      <xdr:spPr>
        <a:xfrm>
          <a:off x="7056276" y="349897"/>
          <a:ext cx="1861263" cy="3061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F86" totalsRowShown="0">
  <autoFilter ref="A1:F86"/>
  <tableColumns count="6">
    <tableColumn id="1" name="Id" dataDxfId="9"/>
    <tableColumn id="2" name="Codice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3" totalsRowShown="0">
  <autoFilter ref="A1:H3"/>
  <tableColumns count="8">
    <tableColumn id="1" name="Data" dataDxfId="5"/>
    <tableColumn id="2" name="Descrizione"/>
    <tableColumn id="3" name="IdClassificazione"/>
    <tableColumn id="4" name="Classificazione"/>
    <tableColumn id="5" name="Importo"/>
    <tableColumn id="6" name="Tipo"/>
    <tableColumn id="7" name="Saldo" dataDxfId="4">
      <calculatedColumnFormula>SUMIF(INDEX(Tabella2[Tipo],1):Tabella2[[#This Row],[Tipo]],Tabella2[[#This Row],[Tipo]],INDEX(Tabella2[Importo],1):Tabella2[[#This Row],[Importo]])</calculatedColumnFormula>
    </tableColumn>
    <tableColumn id="8" name="Raggruppam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3"/>
    <tableColumn id="3" name="total" dataDxfId="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F200"/>
  <sheetViews>
    <sheetView zoomScale="151" workbookViewId="0">
      <selection activeCell="C88" sqref="C88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style="6" bestFit="1" customWidth="1"/>
    <col min="5" max="5" width="11.140625" style="6" bestFit="1" customWidth="1"/>
  </cols>
  <sheetData>
    <row r="1" spans="1:6" x14ac:dyDescent="0.25">
      <c r="A1" s="2" t="s">
        <v>45</v>
      </c>
      <c r="B1" t="s">
        <v>0</v>
      </c>
      <c r="C1" s="3" t="s">
        <v>1</v>
      </c>
      <c r="D1" s="6" t="s">
        <v>2</v>
      </c>
      <c r="E1" s="6" t="s">
        <v>3</v>
      </c>
      <c r="F1" t="s">
        <v>142</v>
      </c>
    </row>
    <row r="2" spans="1:6" x14ac:dyDescent="0.25">
      <c r="A2" s="2">
        <v>1</v>
      </c>
      <c r="B2" t="s">
        <v>46</v>
      </c>
      <c r="C2" s="3" t="s">
        <v>77</v>
      </c>
      <c r="D2" s="1">
        <v>44197</v>
      </c>
      <c r="F2">
        <v>1</v>
      </c>
    </row>
    <row r="3" spans="1:6" x14ac:dyDescent="0.25">
      <c r="A3" s="2">
        <f>A2+1</f>
        <v>2</v>
      </c>
      <c r="B3" t="s">
        <v>47</v>
      </c>
      <c r="C3" s="3" t="s">
        <v>135</v>
      </c>
      <c r="D3" s="1">
        <v>44197</v>
      </c>
      <c r="F3">
        <v>2</v>
      </c>
    </row>
    <row r="4" spans="1:6" x14ac:dyDescent="0.25">
      <c r="A4" s="2">
        <f>A3+1</f>
        <v>3</v>
      </c>
      <c r="B4" t="s">
        <v>48</v>
      </c>
      <c r="C4" s="3" t="s">
        <v>136</v>
      </c>
      <c r="D4" s="1">
        <v>44197</v>
      </c>
      <c r="F4">
        <v>4</v>
      </c>
    </row>
    <row r="5" spans="1:6" x14ac:dyDescent="0.25">
      <c r="A5" s="2">
        <f t="shared" ref="A5:A68" si="0">A4+1</f>
        <v>4</v>
      </c>
      <c r="B5" t="s">
        <v>49</v>
      </c>
      <c r="C5" s="3" t="s">
        <v>137</v>
      </c>
      <c r="D5" s="1">
        <v>44197</v>
      </c>
      <c r="F5">
        <v>5</v>
      </c>
    </row>
    <row r="6" spans="1:6" x14ac:dyDescent="0.25">
      <c r="A6" s="2">
        <f t="shared" si="0"/>
        <v>5</v>
      </c>
      <c r="B6" t="s">
        <v>50</v>
      </c>
      <c r="C6" s="3" t="s">
        <v>138</v>
      </c>
      <c r="D6" s="1">
        <v>44197</v>
      </c>
      <c r="F6">
        <v>7</v>
      </c>
    </row>
    <row r="7" spans="1:6" x14ac:dyDescent="0.25">
      <c r="A7" s="2">
        <f t="shared" si="0"/>
        <v>6</v>
      </c>
      <c r="B7" t="s">
        <v>51</v>
      </c>
      <c r="C7" s="3" t="s">
        <v>139</v>
      </c>
      <c r="D7" s="1">
        <v>44197</v>
      </c>
      <c r="F7">
        <v>8</v>
      </c>
    </row>
    <row r="8" spans="1:6" x14ac:dyDescent="0.25">
      <c r="A8" s="2">
        <f t="shared" si="0"/>
        <v>7</v>
      </c>
      <c r="B8" t="s">
        <v>52</v>
      </c>
      <c r="C8" s="3" t="s">
        <v>140</v>
      </c>
      <c r="D8" s="1">
        <v>44197</v>
      </c>
      <c r="F8">
        <v>10</v>
      </c>
    </row>
    <row r="9" spans="1:6" x14ac:dyDescent="0.25">
      <c r="A9" s="2">
        <f t="shared" si="0"/>
        <v>8</v>
      </c>
      <c r="B9" t="s">
        <v>53</v>
      </c>
      <c r="C9" s="3" t="s">
        <v>16</v>
      </c>
      <c r="D9" s="1">
        <v>44197</v>
      </c>
      <c r="F9">
        <v>15</v>
      </c>
    </row>
    <row r="10" spans="1:6" x14ac:dyDescent="0.25">
      <c r="A10" s="2">
        <f t="shared" si="0"/>
        <v>9</v>
      </c>
      <c r="B10" t="s">
        <v>54</v>
      </c>
      <c r="C10" s="3" t="s">
        <v>6</v>
      </c>
      <c r="D10" s="1">
        <v>44197</v>
      </c>
      <c r="F10">
        <v>16</v>
      </c>
    </row>
    <row r="11" spans="1:6" x14ac:dyDescent="0.25">
      <c r="A11" s="2">
        <f t="shared" si="0"/>
        <v>10</v>
      </c>
      <c r="B11" t="s">
        <v>55</v>
      </c>
      <c r="C11" s="3" t="s">
        <v>8</v>
      </c>
      <c r="D11" s="1">
        <v>44197</v>
      </c>
      <c r="F11">
        <v>17</v>
      </c>
    </row>
    <row r="12" spans="1:6" x14ac:dyDescent="0.25">
      <c r="A12" s="2">
        <f t="shared" si="0"/>
        <v>11</v>
      </c>
      <c r="B12" t="s">
        <v>56</v>
      </c>
      <c r="C12" s="3" t="s">
        <v>10</v>
      </c>
      <c r="D12" s="1">
        <v>44197</v>
      </c>
      <c r="F12">
        <v>18</v>
      </c>
    </row>
    <row r="13" spans="1:6" x14ac:dyDescent="0.25">
      <c r="A13" s="2">
        <f t="shared" si="0"/>
        <v>12</v>
      </c>
      <c r="B13" t="s">
        <v>57</v>
      </c>
      <c r="C13" s="3" t="s">
        <v>13</v>
      </c>
      <c r="D13" s="1">
        <v>44197</v>
      </c>
      <c r="F13">
        <v>19</v>
      </c>
    </row>
    <row r="14" spans="1:6" x14ac:dyDescent="0.25">
      <c r="A14" s="2">
        <f t="shared" si="0"/>
        <v>13</v>
      </c>
      <c r="B14" t="s">
        <v>58</v>
      </c>
      <c r="C14" s="3" t="s">
        <v>14</v>
      </c>
      <c r="D14" s="1">
        <v>44197</v>
      </c>
      <c r="F14">
        <v>20</v>
      </c>
    </row>
    <row r="15" spans="1:6" x14ac:dyDescent="0.25">
      <c r="A15" s="2">
        <f t="shared" si="0"/>
        <v>14</v>
      </c>
      <c r="B15" t="s">
        <v>59</v>
      </c>
      <c r="C15" s="3" t="s">
        <v>23</v>
      </c>
      <c r="D15" s="1">
        <v>44197</v>
      </c>
      <c r="F15">
        <v>24</v>
      </c>
    </row>
    <row r="16" spans="1:6" x14ac:dyDescent="0.25">
      <c r="A16" s="2">
        <f t="shared" si="0"/>
        <v>15</v>
      </c>
      <c r="B16" t="s">
        <v>60</v>
      </c>
      <c r="C16" s="3" t="s">
        <v>27</v>
      </c>
      <c r="D16" s="1">
        <v>44197</v>
      </c>
      <c r="F16">
        <v>25</v>
      </c>
    </row>
    <row r="17" spans="1:6" x14ac:dyDescent="0.25">
      <c r="A17" s="2">
        <f t="shared" si="0"/>
        <v>16</v>
      </c>
      <c r="B17" t="s">
        <v>61</v>
      </c>
      <c r="C17" s="4" t="s">
        <v>28</v>
      </c>
      <c r="D17" s="1">
        <v>44197</v>
      </c>
      <c r="F17">
        <v>26</v>
      </c>
    </row>
    <row r="18" spans="1:6" x14ac:dyDescent="0.25">
      <c r="A18" s="2">
        <f t="shared" si="0"/>
        <v>17</v>
      </c>
      <c r="B18" t="s">
        <v>62</v>
      </c>
      <c r="C18" s="3" t="s">
        <v>29</v>
      </c>
      <c r="D18" s="1">
        <v>44197</v>
      </c>
      <c r="F18">
        <v>27</v>
      </c>
    </row>
    <row r="19" spans="1:6" x14ac:dyDescent="0.25">
      <c r="A19" s="2">
        <f t="shared" si="0"/>
        <v>18</v>
      </c>
      <c r="B19" t="s">
        <v>63</v>
      </c>
      <c r="C19" s="3" t="s">
        <v>31</v>
      </c>
      <c r="D19" s="1">
        <v>44197</v>
      </c>
      <c r="F19">
        <v>30</v>
      </c>
    </row>
    <row r="20" spans="1:6" x14ac:dyDescent="0.25">
      <c r="A20" s="2">
        <f t="shared" si="0"/>
        <v>19</v>
      </c>
      <c r="B20" t="s">
        <v>64</v>
      </c>
      <c r="C20" s="3" t="s">
        <v>37</v>
      </c>
      <c r="D20" s="1">
        <v>44197</v>
      </c>
      <c r="F20">
        <v>31</v>
      </c>
    </row>
    <row r="21" spans="1:6" x14ac:dyDescent="0.25">
      <c r="A21" s="2">
        <f t="shared" si="0"/>
        <v>20</v>
      </c>
      <c r="B21" t="s">
        <v>65</v>
      </c>
      <c r="C21" s="3" t="s">
        <v>38</v>
      </c>
      <c r="D21" s="1">
        <v>44197</v>
      </c>
      <c r="F21">
        <v>32</v>
      </c>
    </row>
    <row r="22" spans="1:6" x14ac:dyDescent="0.25">
      <c r="A22" s="2">
        <f t="shared" si="0"/>
        <v>21</v>
      </c>
      <c r="B22" t="s">
        <v>66</v>
      </c>
      <c r="C22" s="3" t="s">
        <v>39</v>
      </c>
      <c r="D22" s="1">
        <v>44197</v>
      </c>
      <c r="F22">
        <v>33</v>
      </c>
    </row>
    <row r="23" spans="1:6" x14ac:dyDescent="0.25">
      <c r="A23" s="2">
        <f t="shared" si="0"/>
        <v>22</v>
      </c>
      <c r="B23" t="s">
        <v>67</v>
      </c>
      <c r="C23" s="3" t="s">
        <v>40</v>
      </c>
      <c r="D23" s="1">
        <v>44197</v>
      </c>
      <c r="F23">
        <v>34</v>
      </c>
    </row>
    <row r="24" spans="1:6" x14ac:dyDescent="0.25">
      <c r="A24" s="2">
        <f t="shared" si="0"/>
        <v>23</v>
      </c>
      <c r="B24" t="s">
        <v>68</v>
      </c>
      <c r="C24" s="3" t="s">
        <v>29</v>
      </c>
      <c r="D24" s="1">
        <v>44197</v>
      </c>
      <c r="F24">
        <v>37</v>
      </c>
    </row>
    <row r="25" spans="1:6" x14ac:dyDescent="0.25">
      <c r="A25" s="2">
        <f t="shared" si="0"/>
        <v>24</v>
      </c>
      <c r="B25" t="s">
        <v>69</v>
      </c>
      <c r="C25" s="3" t="s">
        <v>42</v>
      </c>
      <c r="D25" s="1">
        <v>44197</v>
      </c>
      <c r="F25">
        <v>38</v>
      </c>
    </row>
    <row r="26" spans="1:6" x14ac:dyDescent="0.25">
      <c r="A26" s="2">
        <f t="shared" si="0"/>
        <v>25</v>
      </c>
      <c r="B26" t="s">
        <v>70</v>
      </c>
      <c r="C26" s="3" t="s">
        <v>6</v>
      </c>
      <c r="D26" s="1">
        <v>44197</v>
      </c>
      <c r="F26">
        <v>39</v>
      </c>
    </row>
    <row r="27" spans="1:6" x14ac:dyDescent="0.25">
      <c r="A27" s="2">
        <f t="shared" si="0"/>
        <v>26</v>
      </c>
      <c r="B27" t="s">
        <v>71</v>
      </c>
      <c r="C27" s="3" t="s">
        <v>8</v>
      </c>
      <c r="D27" s="1">
        <v>44197</v>
      </c>
      <c r="F27">
        <v>40</v>
      </c>
    </row>
    <row r="28" spans="1:6" x14ac:dyDescent="0.25">
      <c r="A28" s="2">
        <f t="shared" si="0"/>
        <v>27</v>
      </c>
      <c r="B28" t="s">
        <v>72</v>
      </c>
      <c r="C28" s="3" t="s">
        <v>10</v>
      </c>
      <c r="D28" s="1">
        <v>44197</v>
      </c>
      <c r="F28">
        <v>41</v>
      </c>
    </row>
    <row r="29" spans="1:6" x14ac:dyDescent="0.25">
      <c r="A29" s="2">
        <f t="shared" si="0"/>
        <v>28</v>
      </c>
      <c r="B29" t="s">
        <v>73</v>
      </c>
      <c r="C29" s="3" t="s">
        <v>13</v>
      </c>
      <c r="D29" s="1">
        <v>44197</v>
      </c>
      <c r="F29">
        <v>42</v>
      </c>
    </row>
    <row r="30" spans="1:6" x14ac:dyDescent="0.25">
      <c r="A30" s="2">
        <f t="shared" si="0"/>
        <v>29</v>
      </c>
      <c r="B30" t="s">
        <v>74</v>
      </c>
      <c r="C30" s="3" t="s">
        <v>14</v>
      </c>
      <c r="D30" s="1">
        <v>44197</v>
      </c>
      <c r="F30">
        <v>43</v>
      </c>
    </row>
    <row r="31" spans="1:6" x14ac:dyDescent="0.25">
      <c r="A31" s="2">
        <f t="shared" si="0"/>
        <v>30</v>
      </c>
      <c r="B31" t="s">
        <v>75</v>
      </c>
      <c r="C31" s="3" t="s">
        <v>76</v>
      </c>
      <c r="D31" s="1">
        <v>44197</v>
      </c>
      <c r="F31">
        <v>1</v>
      </c>
    </row>
    <row r="32" spans="1:6" x14ac:dyDescent="0.25">
      <c r="A32" s="2">
        <f t="shared" si="0"/>
        <v>31</v>
      </c>
      <c r="B32" t="s">
        <v>4</v>
      </c>
      <c r="C32" s="3" t="s">
        <v>78</v>
      </c>
      <c r="D32" s="1">
        <v>44197</v>
      </c>
      <c r="F32">
        <v>2</v>
      </c>
    </row>
    <row r="33" spans="1:6" x14ac:dyDescent="0.25">
      <c r="A33" s="2">
        <f t="shared" si="0"/>
        <v>32</v>
      </c>
      <c r="B33" t="s">
        <v>5</v>
      </c>
      <c r="C33" s="3" t="s">
        <v>84</v>
      </c>
      <c r="D33" s="1">
        <v>44197</v>
      </c>
      <c r="F33">
        <v>3</v>
      </c>
    </row>
    <row r="34" spans="1:6" x14ac:dyDescent="0.25">
      <c r="A34" s="2">
        <f t="shared" si="0"/>
        <v>33</v>
      </c>
      <c r="B34" t="s">
        <v>7</v>
      </c>
      <c r="C34" s="3" t="s">
        <v>85</v>
      </c>
      <c r="D34" s="1">
        <v>44197</v>
      </c>
      <c r="F34">
        <v>4</v>
      </c>
    </row>
    <row r="35" spans="1:6" x14ac:dyDescent="0.25">
      <c r="A35" s="2">
        <f t="shared" si="0"/>
        <v>34</v>
      </c>
      <c r="B35" t="s">
        <v>9</v>
      </c>
      <c r="C35" s="3" t="s">
        <v>86</v>
      </c>
      <c r="D35" s="1">
        <v>44197</v>
      </c>
      <c r="F35">
        <v>5</v>
      </c>
    </row>
    <row r="36" spans="1:6" x14ac:dyDescent="0.25">
      <c r="A36" s="2">
        <f t="shared" si="0"/>
        <v>35</v>
      </c>
      <c r="B36" t="s">
        <v>11</v>
      </c>
      <c r="C36" s="3" t="s">
        <v>87</v>
      </c>
      <c r="D36" s="1">
        <v>44197</v>
      </c>
      <c r="F36">
        <v>6</v>
      </c>
    </row>
    <row r="37" spans="1:6" x14ac:dyDescent="0.25">
      <c r="A37" s="2">
        <f t="shared" si="0"/>
        <v>36</v>
      </c>
      <c r="B37" t="s">
        <v>12</v>
      </c>
      <c r="C37" s="3" t="s">
        <v>88</v>
      </c>
      <c r="D37" s="1">
        <v>44197</v>
      </c>
      <c r="F37">
        <v>7</v>
      </c>
    </row>
    <row r="38" spans="1:6" x14ac:dyDescent="0.25">
      <c r="A38" s="2">
        <f t="shared" si="0"/>
        <v>37</v>
      </c>
      <c r="B38" t="s">
        <v>89</v>
      </c>
      <c r="C38" s="3" t="s">
        <v>94</v>
      </c>
      <c r="D38" s="1">
        <v>44197</v>
      </c>
      <c r="F38">
        <v>8</v>
      </c>
    </row>
    <row r="39" spans="1:6" x14ac:dyDescent="0.25">
      <c r="A39" s="2">
        <f t="shared" si="0"/>
        <v>38</v>
      </c>
      <c r="B39" t="s">
        <v>90</v>
      </c>
      <c r="C39" s="3" t="s">
        <v>95</v>
      </c>
      <c r="D39" s="1">
        <v>44197</v>
      </c>
      <c r="F39">
        <v>9</v>
      </c>
    </row>
    <row r="40" spans="1:6" x14ac:dyDescent="0.25">
      <c r="A40" s="2">
        <f t="shared" si="0"/>
        <v>39</v>
      </c>
      <c r="B40" t="s">
        <v>91</v>
      </c>
      <c r="C40" s="3" t="s">
        <v>96</v>
      </c>
      <c r="D40" s="1">
        <v>44197</v>
      </c>
      <c r="F40">
        <v>10</v>
      </c>
    </row>
    <row r="41" spans="1:6" x14ac:dyDescent="0.25">
      <c r="A41" s="2">
        <f t="shared" si="0"/>
        <v>40</v>
      </c>
      <c r="B41" t="s">
        <v>92</v>
      </c>
      <c r="C41" s="3" t="s">
        <v>97</v>
      </c>
      <c r="D41" s="1">
        <v>44197</v>
      </c>
      <c r="F41">
        <v>11</v>
      </c>
    </row>
    <row r="42" spans="1:6" x14ac:dyDescent="0.25">
      <c r="A42" s="2">
        <f t="shared" si="0"/>
        <v>41</v>
      </c>
      <c r="B42" t="s">
        <v>93</v>
      </c>
      <c r="C42" s="3" t="s">
        <v>98</v>
      </c>
      <c r="D42" s="1">
        <v>44197</v>
      </c>
      <c r="F42">
        <v>12</v>
      </c>
    </row>
    <row r="43" spans="1:6" x14ac:dyDescent="0.25">
      <c r="A43" s="2">
        <f t="shared" si="0"/>
        <v>42</v>
      </c>
      <c r="B43" t="s">
        <v>15</v>
      </c>
      <c r="C43" s="3" t="s">
        <v>79</v>
      </c>
      <c r="D43" s="1">
        <v>44197</v>
      </c>
      <c r="F43">
        <v>15</v>
      </c>
    </row>
    <row r="44" spans="1:6" x14ac:dyDescent="0.25">
      <c r="A44" s="2">
        <f t="shared" si="0"/>
        <v>43</v>
      </c>
      <c r="B44" t="s">
        <v>17</v>
      </c>
      <c r="C44" s="3" t="s">
        <v>86</v>
      </c>
      <c r="D44" s="1">
        <v>44197</v>
      </c>
      <c r="F44">
        <v>16</v>
      </c>
    </row>
    <row r="45" spans="1:6" x14ac:dyDescent="0.25">
      <c r="A45" s="2">
        <f t="shared" si="0"/>
        <v>44</v>
      </c>
      <c r="B45" t="s">
        <v>18</v>
      </c>
      <c r="C45" s="3" t="s">
        <v>94</v>
      </c>
      <c r="D45" s="1">
        <v>44197</v>
      </c>
      <c r="F45">
        <v>17</v>
      </c>
    </row>
    <row r="46" spans="1:6" x14ac:dyDescent="0.25">
      <c r="A46" s="2">
        <f t="shared" si="0"/>
        <v>45</v>
      </c>
      <c r="B46" t="s">
        <v>19</v>
      </c>
      <c r="C46" s="3" t="s">
        <v>95</v>
      </c>
      <c r="D46" s="1">
        <v>44197</v>
      </c>
      <c r="F46">
        <v>18</v>
      </c>
    </row>
    <row r="47" spans="1:6" x14ac:dyDescent="0.25">
      <c r="A47" s="2">
        <f t="shared" si="0"/>
        <v>46</v>
      </c>
      <c r="B47" t="s">
        <v>20</v>
      </c>
      <c r="C47" s="3" t="s">
        <v>13</v>
      </c>
      <c r="D47" s="1">
        <v>44197</v>
      </c>
      <c r="F47">
        <v>19</v>
      </c>
    </row>
    <row r="48" spans="1:6" x14ac:dyDescent="0.25">
      <c r="A48" s="2">
        <f t="shared" si="0"/>
        <v>47</v>
      </c>
      <c r="B48" t="s">
        <v>21</v>
      </c>
      <c r="C48" s="3" t="s">
        <v>96</v>
      </c>
      <c r="D48" s="1">
        <v>44197</v>
      </c>
      <c r="F48">
        <v>20</v>
      </c>
    </row>
    <row r="49" spans="1:6" x14ac:dyDescent="0.25">
      <c r="A49" s="2">
        <f t="shared" si="0"/>
        <v>48</v>
      </c>
      <c r="B49" t="s">
        <v>99</v>
      </c>
      <c r="C49" s="3" t="s">
        <v>98</v>
      </c>
      <c r="D49" s="1">
        <v>44197</v>
      </c>
      <c r="F49">
        <v>21</v>
      </c>
    </row>
    <row r="50" spans="1:6" x14ac:dyDescent="0.25">
      <c r="A50" s="2">
        <f t="shared" si="0"/>
        <v>49</v>
      </c>
      <c r="B50" t="s">
        <v>22</v>
      </c>
      <c r="C50" s="3" t="s">
        <v>80</v>
      </c>
      <c r="D50" s="1">
        <v>44197</v>
      </c>
      <c r="F50">
        <v>24</v>
      </c>
    </row>
    <row r="51" spans="1:6" x14ac:dyDescent="0.25">
      <c r="A51" s="2">
        <f t="shared" si="0"/>
        <v>50</v>
      </c>
      <c r="B51" t="s">
        <v>24</v>
      </c>
      <c r="C51" s="3" t="s">
        <v>100</v>
      </c>
      <c r="D51" s="1">
        <v>44197</v>
      </c>
      <c r="F51">
        <v>25</v>
      </c>
    </row>
    <row r="52" spans="1:6" x14ac:dyDescent="0.25">
      <c r="A52" s="2">
        <f t="shared" si="0"/>
        <v>51</v>
      </c>
      <c r="B52" t="s">
        <v>25</v>
      </c>
      <c r="C52" s="4" t="s">
        <v>101</v>
      </c>
      <c r="D52" s="1">
        <v>44197</v>
      </c>
      <c r="F52">
        <v>26</v>
      </c>
    </row>
    <row r="53" spans="1:6" x14ac:dyDescent="0.25">
      <c r="A53" s="2">
        <f t="shared" si="0"/>
        <v>52</v>
      </c>
      <c r="B53" t="s">
        <v>26</v>
      </c>
      <c r="C53" s="3" t="s">
        <v>81</v>
      </c>
      <c r="D53" s="1">
        <v>44197</v>
      </c>
      <c r="F53">
        <v>27</v>
      </c>
    </row>
    <row r="54" spans="1:6" x14ac:dyDescent="0.25">
      <c r="A54" s="2">
        <f t="shared" si="0"/>
        <v>53</v>
      </c>
      <c r="B54" t="s">
        <v>30</v>
      </c>
      <c r="C54" s="3" t="s">
        <v>82</v>
      </c>
      <c r="D54" s="1">
        <v>44197</v>
      </c>
      <c r="F54">
        <v>30</v>
      </c>
    </row>
    <row r="55" spans="1:6" x14ac:dyDescent="0.25">
      <c r="A55" s="2">
        <f t="shared" si="0"/>
        <v>54</v>
      </c>
      <c r="B55" t="s">
        <v>32</v>
      </c>
      <c r="C55" s="3" t="s">
        <v>102</v>
      </c>
      <c r="D55" s="1">
        <v>44197</v>
      </c>
      <c r="F55">
        <v>31</v>
      </c>
    </row>
    <row r="56" spans="1:6" x14ac:dyDescent="0.25">
      <c r="A56" s="2">
        <f t="shared" si="0"/>
        <v>55</v>
      </c>
      <c r="B56" t="s">
        <v>33</v>
      </c>
      <c r="C56" s="3" t="s">
        <v>103</v>
      </c>
      <c r="D56" s="1">
        <v>44197</v>
      </c>
      <c r="F56">
        <v>32</v>
      </c>
    </row>
    <row r="57" spans="1:6" x14ac:dyDescent="0.25">
      <c r="A57" s="2">
        <f t="shared" si="0"/>
        <v>56</v>
      </c>
      <c r="B57" t="s">
        <v>34</v>
      </c>
      <c r="C57" s="3" t="s">
        <v>104</v>
      </c>
      <c r="D57" s="1">
        <v>44197</v>
      </c>
      <c r="F57">
        <v>33</v>
      </c>
    </row>
    <row r="58" spans="1:6" x14ac:dyDescent="0.25">
      <c r="A58" s="2">
        <f t="shared" si="0"/>
        <v>57</v>
      </c>
      <c r="B58" t="s">
        <v>35</v>
      </c>
      <c r="C58" s="3" t="s">
        <v>105</v>
      </c>
      <c r="D58" s="1">
        <v>44197</v>
      </c>
      <c r="F58">
        <v>34</v>
      </c>
    </row>
    <row r="59" spans="1:6" x14ac:dyDescent="0.25">
      <c r="A59" s="2">
        <f t="shared" si="0"/>
        <v>58</v>
      </c>
      <c r="B59" t="s">
        <v>36</v>
      </c>
      <c r="C59" s="3" t="s">
        <v>98</v>
      </c>
      <c r="D59" s="1">
        <v>44197</v>
      </c>
      <c r="F59">
        <v>35</v>
      </c>
    </row>
    <row r="60" spans="1:6" x14ac:dyDescent="0.25">
      <c r="A60" s="2">
        <f t="shared" si="0"/>
        <v>59</v>
      </c>
      <c r="B60" t="s">
        <v>41</v>
      </c>
      <c r="C60" s="3" t="s">
        <v>83</v>
      </c>
      <c r="D60" s="1">
        <v>44197</v>
      </c>
      <c r="F60">
        <v>38</v>
      </c>
    </row>
    <row r="61" spans="1:6" x14ac:dyDescent="0.25">
      <c r="A61" s="2">
        <f t="shared" si="0"/>
        <v>60</v>
      </c>
      <c r="B61" t="s">
        <v>43</v>
      </c>
      <c r="C61" s="3" t="s">
        <v>106</v>
      </c>
      <c r="D61" s="1">
        <v>44197</v>
      </c>
      <c r="F61">
        <v>39</v>
      </c>
    </row>
    <row r="62" spans="1:6" x14ac:dyDescent="0.25">
      <c r="A62" s="2">
        <f t="shared" si="0"/>
        <v>61</v>
      </c>
      <c r="B62" t="s">
        <v>44</v>
      </c>
      <c r="C62" s="3" t="s">
        <v>107</v>
      </c>
      <c r="D62" s="1">
        <v>44197</v>
      </c>
      <c r="F62">
        <v>40</v>
      </c>
    </row>
    <row r="63" spans="1:6" x14ac:dyDescent="0.25">
      <c r="A63" s="2">
        <f t="shared" si="0"/>
        <v>62</v>
      </c>
      <c r="B63" t="s">
        <v>143</v>
      </c>
      <c r="C63" s="1" t="s">
        <v>144</v>
      </c>
      <c r="D63" s="1">
        <v>44197</v>
      </c>
    </row>
    <row r="64" spans="1:6" x14ac:dyDescent="0.25">
      <c r="A64" s="2">
        <f t="shared" si="0"/>
        <v>63</v>
      </c>
      <c r="B64" t="s">
        <v>145</v>
      </c>
      <c r="C64" s="9" t="s">
        <v>146</v>
      </c>
      <c r="D64" s="1">
        <v>44197</v>
      </c>
    </row>
    <row r="65" spans="1:6" x14ac:dyDescent="0.25">
      <c r="A65" s="2">
        <f t="shared" si="0"/>
        <v>64</v>
      </c>
      <c r="B65" t="s">
        <v>118</v>
      </c>
      <c r="C65" s="3" t="s">
        <v>119</v>
      </c>
      <c r="D65" s="1">
        <v>44197</v>
      </c>
    </row>
    <row r="66" spans="1:6" x14ac:dyDescent="0.25">
      <c r="A66" s="2">
        <f t="shared" si="0"/>
        <v>65</v>
      </c>
      <c r="B66" t="s">
        <v>120</v>
      </c>
      <c r="C66" s="3" t="s">
        <v>121</v>
      </c>
      <c r="D66" s="1">
        <v>44197</v>
      </c>
    </row>
    <row r="67" spans="1:6" x14ac:dyDescent="0.25">
      <c r="A67" s="2">
        <f t="shared" si="0"/>
        <v>66</v>
      </c>
      <c r="B67" t="s">
        <v>122</v>
      </c>
      <c r="C67" s="3" t="s">
        <v>124</v>
      </c>
      <c r="D67" s="1">
        <v>44197</v>
      </c>
    </row>
    <row r="68" spans="1:6" x14ac:dyDescent="0.25">
      <c r="A68" s="2">
        <f t="shared" si="0"/>
        <v>67</v>
      </c>
      <c r="B68" t="s">
        <v>123</v>
      </c>
      <c r="C68" s="3" t="s">
        <v>125</v>
      </c>
      <c r="D68" s="1">
        <v>44197</v>
      </c>
    </row>
    <row r="69" spans="1:6" x14ac:dyDescent="0.25">
      <c r="A69" s="2">
        <f t="shared" ref="A69:A70" si="1">A68+1</f>
        <v>68</v>
      </c>
      <c r="B69" t="s">
        <v>148</v>
      </c>
      <c r="C69" s="3" t="s">
        <v>147</v>
      </c>
      <c r="D69" s="1">
        <v>44197</v>
      </c>
    </row>
    <row r="70" spans="1:6" x14ac:dyDescent="0.25">
      <c r="A70" s="2">
        <f t="shared" si="1"/>
        <v>69</v>
      </c>
      <c r="B70" t="s">
        <v>149</v>
      </c>
      <c r="C70" s="3" t="s">
        <v>141</v>
      </c>
      <c r="D70" s="1">
        <v>44197</v>
      </c>
      <c r="F70">
        <v>13</v>
      </c>
    </row>
    <row r="71" spans="1:6" x14ac:dyDescent="0.25">
      <c r="A71" s="2">
        <f>A70+1</f>
        <v>70</v>
      </c>
      <c r="B71" t="s">
        <v>150</v>
      </c>
      <c r="C71" s="3" t="s">
        <v>141</v>
      </c>
      <c r="D71" s="1">
        <v>44197</v>
      </c>
      <c r="F71">
        <v>22</v>
      </c>
    </row>
    <row r="72" spans="1:6" x14ac:dyDescent="0.25">
      <c r="A72" s="2">
        <f>A71+1</f>
        <v>71</v>
      </c>
      <c r="B72" t="s">
        <v>151</v>
      </c>
      <c r="C72" s="3" t="s">
        <v>141</v>
      </c>
      <c r="D72" s="1">
        <v>44197</v>
      </c>
      <c r="F72">
        <v>28</v>
      </c>
    </row>
    <row r="73" spans="1:6" x14ac:dyDescent="0.25">
      <c r="A73" s="2">
        <f>A72+1</f>
        <v>72</v>
      </c>
      <c r="B73" t="s">
        <v>152</v>
      </c>
      <c r="C73" s="3" t="s">
        <v>141</v>
      </c>
      <c r="D73" s="1">
        <v>44197</v>
      </c>
      <c r="F73">
        <v>36</v>
      </c>
    </row>
    <row r="74" spans="1:6" x14ac:dyDescent="0.25">
      <c r="A74" s="2">
        <f>A73+1</f>
        <v>73</v>
      </c>
      <c r="B74" t="s">
        <v>153</v>
      </c>
      <c r="C74" s="3" t="s">
        <v>141</v>
      </c>
      <c r="D74" s="1">
        <v>44197</v>
      </c>
      <c r="F74">
        <v>44</v>
      </c>
    </row>
    <row r="75" spans="1:6" x14ac:dyDescent="0.25">
      <c r="A75" s="2">
        <f>A74+1</f>
        <v>74</v>
      </c>
      <c r="B75" t="s">
        <v>154</v>
      </c>
      <c r="C75" s="3" t="s">
        <v>141</v>
      </c>
      <c r="D75" s="1">
        <v>44197</v>
      </c>
      <c r="F75">
        <v>13</v>
      </c>
    </row>
    <row r="76" spans="1:6" x14ac:dyDescent="0.25">
      <c r="A76" s="2">
        <f>A75+1</f>
        <v>75</v>
      </c>
      <c r="B76" t="s">
        <v>155</v>
      </c>
      <c r="C76" s="3" t="s">
        <v>160</v>
      </c>
      <c r="D76" s="1"/>
      <c r="F76">
        <v>14</v>
      </c>
    </row>
    <row r="77" spans="1:6" x14ac:dyDescent="0.25">
      <c r="A77" s="2">
        <f>A76+1</f>
        <v>76</v>
      </c>
      <c r="B77" t="s">
        <v>156</v>
      </c>
      <c r="C77" s="3" t="s">
        <v>141</v>
      </c>
      <c r="D77" s="1">
        <v>44197</v>
      </c>
      <c r="F77">
        <v>22</v>
      </c>
    </row>
    <row r="78" spans="1:6" x14ac:dyDescent="0.25">
      <c r="A78" s="2">
        <f>A77+1</f>
        <v>77</v>
      </c>
      <c r="B78" t="s">
        <v>157</v>
      </c>
      <c r="C78" s="3" t="s">
        <v>161</v>
      </c>
      <c r="D78" s="1"/>
      <c r="F78">
        <v>23</v>
      </c>
    </row>
    <row r="79" spans="1:6" x14ac:dyDescent="0.25">
      <c r="A79" s="2">
        <f>A78+1</f>
        <v>78</v>
      </c>
      <c r="B79" t="s">
        <v>158</v>
      </c>
      <c r="C79" s="3" t="s">
        <v>141</v>
      </c>
      <c r="D79" s="1">
        <v>44197</v>
      </c>
      <c r="F79">
        <v>28</v>
      </c>
    </row>
    <row r="80" spans="1:6" x14ac:dyDescent="0.25">
      <c r="A80" s="2">
        <f>A79+1</f>
        <v>79</v>
      </c>
      <c r="B80" t="s">
        <v>162</v>
      </c>
      <c r="C80" s="3" t="s">
        <v>163</v>
      </c>
      <c r="D80" s="1"/>
      <c r="F80">
        <v>29</v>
      </c>
    </row>
    <row r="81" spans="1:6" x14ac:dyDescent="0.25">
      <c r="A81" s="2">
        <f>A80+1</f>
        <v>80</v>
      </c>
      <c r="B81" t="s">
        <v>164</v>
      </c>
      <c r="C81" s="3" t="s">
        <v>141</v>
      </c>
      <c r="D81" s="1">
        <v>44197</v>
      </c>
      <c r="F81">
        <v>36</v>
      </c>
    </row>
    <row r="82" spans="1:6" x14ac:dyDescent="0.25">
      <c r="A82" s="2">
        <f>A81+1</f>
        <v>81</v>
      </c>
      <c r="B82" t="s">
        <v>165</v>
      </c>
      <c r="C82" s="3" t="s">
        <v>159</v>
      </c>
      <c r="D82" s="1"/>
      <c r="F82">
        <v>37</v>
      </c>
    </row>
    <row r="83" spans="1:6" x14ac:dyDescent="0.25">
      <c r="A83" s="2">
        <f>A82+1</f>
        <v>82</v>
      </c>
      <c r="B83" t="s">
        <v>166</v>
      </c>
      <c r="C83" s="3" t="s">
        <v>141</v>
      </c>
      <c r="D83" s="1">
        <v>44197</v>
      </c>
      <c r="F83">
        <v>44</v>
      </c>
    </row>
    <row r="84" spans="1:6" x14ac:dyDescent="0.25">
      <c r="A84" s="2">
        <f t="shared" ref="A84:A86" si="2">A83+1</f>
        <v>83</v>
      </c>
      <c r="B84" t="s">
        <v>167</v>
      </c>
      <c r="C84" s="3" t="s">
        <v>168</v>
      </c>
      <c r="D84" s="1"/>
      <c r="F84">
        <v>45</v>
      </c>
    </row>
    <row r="85" spans="1:6" x14ac:dyDescent="0.25">
      <c r="A85" s="2">
        <f t="shared" si="2"/>
        <v>84</v>
      </c>
      <c r="B85" t="s">
        <v>169</v>
      </c>
      <c r="C85" s="3" t="s">
        <v>170</v>
      </c>
      <c r="D85" s="1"/>
      <c r="F85">
        <v>46</v>
      </c>
    </row>
    <row r="86" spans="1:6" x14ac:dyDescent="0.25">
      <c r="A86" s="2">
        <f t="shared" si="2"/>
        <v>85</v>
      </c>
      <c r="B86" t="s">
        <v>172</v>
      </c>
      <c r="C86" s="3" t="s">
        <v>171</v>
      </c>
      <c r="D86" s="1"/>
      <c r="F86">
        <v>47</v>
      </c>
    </row>
    <row r="87" spans="1:6" x14ac:dyDescent="0.25">
      <c r="D87" s="1"/>
    </row>
    <row r="88" spans="1:6" x14ac:dyDescent="0.25">
      <c r="D88" s="1"/>
    </row>
    <row r="89" spans="1:6" x14ac:dyDescent="0.25">
      <c r="D89" s="1"/>
    </row>
    <row r="90" spans="1:6" x14ac:dyDescent="0.25">
      <c r="D90" s="1"/>
    </row>
    <row r="91" spans="1:6" x14ac:dyDescent="0.25">
      <c r="D91" s="1"/>
    </row>
    <row r="92" spans="1:6" x14ac:dyDescent="0.25">
      <c r="D92" s="1"/>
    </row>
    <row r="93" spans="1:6" x14ac:dyDescent="0.25">
      <c r="D93" s="1"/>
    </row>
    <row r="94" spans="1:6" x14ac:dyDescent="0.25">
      <c r="D94" s="1"/>
    </row>
    <row r="95" spans="1:6" x14ac:dyDescent="0.25">
      <c r="D95" s="1"/>
    </row>
    <row r="96" spans="1:6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  <row r="195" spans="4:4" x14ac:dyDescent="0.25">
      <c r="D195" s="1"/>
    </row>
    <row r="196" spans="4:4" x14ac:dyDescent="0.25">
      <c r="D196" s="1"/>
    </row>
    <row r="197" spans="4:4" x14ac:dyDescent="0.25">
      <c r="D197" s="1"/>
    </row>
    <row r="198" spans="4:4" x14ac:dyDescent="0.25">
      <c r="D198" s="1"/>
    </row>
    <row r="199" spans="4:4" x14ac:dyDescent="0.25">
      <c r="D199" s="1"/>
    </row>
    <row r="200" spans="4:4" x14ac:dyDescent="0.25">
      <c r="D200" s="1"/>
    </row>
  </sheetData>
  <dataConsolidate link="1"/>
  <dataValidations count="3">
    <dataValidation type="custom" errorStyle="warning" allowBlank="1" showInputMessage="1" showErrorMessage="1" error="non univoco_x000a_" sqref="A1:A86">
      <formula1>COUNTIF(A$3:A$1013,#REF!)&lt;2</formula1>
    </dataValidation>
    <dataValidation type="custom" allowBlank="1" showInputMessage="1" showErrorMessage="1" sqref="B84:B1048576 B1:B80">
      <formula1>COUNTIF(B$3:B$1013,B1)&lt;2</formula1>
    </dataValidation>
    <dataValidation type="custom" errorStyle="warning" allowBlank="1" showInputMessage="1" showErrorMessage="1" error="non univoco_x000a_" sqref="A87:A1048576">
      <formula1>COUNTIF(A$3:A$1013,A86)&lt;2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3"/>
  <sheetViews>
    <sheetView tabSelected="1" zoomScale="196" workbookViewId="0">
      <selection activeCell="G2" sqref="G2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18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8" x14ac:dyDescent="0.25">
      <c r="A1" s="6" t="s">
        <v>108</v>
      </c>
      <c r="B1" t="s">
        <v>1</v>
      </c>
      <c r="C1" t="s">
        <v>112</v>
      </c>
      <c r="D1" t="s">
        <v>111</v>
      </c>
      <c r="E1" t="s">
        <v>109</v>
      </c>
      <c r="F1" t="s">
        <v>110</v>
      </c>
      <c r="G1" t="s">
        <v>127</v>
      </c>
      <c r="H1" t="s">
        <v>117</v>
      </c>
    </row>
    <row r="2" spans="1:8" x14ac:dyDescent="0.25">
      <c r="A2" s="6">
        <v>43831</v>
      </c>
      <c r="B2" t="s">
        <v>133</v>
      </c>
      <c r="C2">
        <v>56</v>
      </c>
      <c r="D2" t="s">
        <v>126</v>
      </c>
      <c r="E2">
        <v>2</v>
      </c>
      <c r="F2" t="s">
        <v>113</v>
      </c>
      <c r="G2">
        <f>SUMIF(INDEX(Tabella2[Tipo],1):Tabella2[[#This Row],[Tipo]],Tabella2[[#This Row],[Tipo]],INDEX(Tabella2[Importo],1):Tabella2[[#This Row],[Importo]])</f>
        <v>2</v>
      </c>
    </row>
    <row r="3" spans="1:8" x14ac:dyDescent="0.25">
      <c r="C3">
        <v>37</v>
      </c>
      <c r="D3" t="s">
        <v>134</v>
      </c>
      <c r="E3">
        <v>123</v>
      </c>
      <c r="F3" t="s">
        <v>113</v>
      </c>
      <c r="G3" s="7">
        <f>SUMIF(INDEX(Tabella2[Tipo],1):Tabella2[[#This Row],[Tipo]],Tabella2[[#This Row],[Tipo]],INDEX(Tabella2[Importo],1):Tabella2[[#This Row],[Importo]])</f>
        <v>125</v>
      </c>
    </row>
  </sheetData>
  <dataConsolidate link="1"/>
  <conditionalFormatting sqref="G1:G3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3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8</xdr:col>
                <xdr:colOff>561975</xdr:colOff>
                <xdr:row>3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128</v>
      </c>
      <c r="B1" s="8" t="s">
        <v>129</v>
      </c>
      <c r="C1" s="8" t="s">
        <v>130</v>
      </c>
    </row>
    <row r="2" spans="1:3" x14ac:dyDescent="0.25">
      <c r="A2" t="s">
        <v>131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131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132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131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131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132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131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132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131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131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131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131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113</v>
      </c>
    </row>
    <row r="2" spans="1:1" x14ac:dyDescent="0.25">
      <c r="A2" t="s">
        <v>114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115</v>
      </c>
    </row>
    <row r="2" spans="1:1" x14ac:dyDescent="0.25">
      <c r="A2" s="5" t="s">
        <v>116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VociRendiconto</vt:lpstr>
      <vt:lpstr>Cassa_2020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2021-02-17T00:19:16Z</dcterms:modified>
</cp:coreProperties>
</file>