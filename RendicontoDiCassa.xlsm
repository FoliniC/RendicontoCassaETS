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Bilancio" sheetId="5" r:id="rId3"/>
    <sheet name="Rapporti" sheetId="3" r:id="rId4"/>
    <sheet name="Info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2" l="1"/>
  <c r="G12" i="2"/>
  <c r="G11" i="2"/>
  <c r="G10" i="2" l="1"/>
  <c r="G9" i="2"/>
  <c r="G8" i="2"/>
  <c r="G7" i="2"/>
  <c r="G6" i="2"/>
  <c r="G5" i="2"/>
  <c r="G4" i="2"/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<sst xmlns="http://schemas.openxmlformats.org/spreadsheetml/2006/main" count="303" uniqueCount="187">
  <si>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</si>
  <si>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</si>
  <si>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</si>
  <si>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</si>
  <si>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</si>
  <si>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</si>
  <si>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</si>
  <si>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</si>
  <si>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</si>
  <si>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</si>
  <si>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</si>
  <si>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</si>
  <si>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</si>
  <si>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</si>
  <si>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</si>
  <si>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</si>
  <si>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</si>
  <si>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</si>
  <si>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</si>
  <si>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</si>
  <si>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</si>
  <si>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</si>
  <si>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</si>
  <si>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</si>
  <si>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</si>
  <si>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</si>
  <si>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</si>
  <si>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</si>
  <si>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</si>
  <si>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</si>
  <si>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</si>
  <si>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</si>
  <si>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</si>
  <si>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</si>
  <si>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</si>
  <si>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</si>
  <si>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</si>
  <si>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</si>
  <si>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</si>
  <si>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</si>
  <si>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</si>
  <si>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</si>
  <si>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</si>
  <si>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</si>
  <si>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</si>
  <si>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</si>
  <si>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</si>
  <si>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</si>
  <si>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</si>
  <si>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</si>
  <si>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</si>
  <si>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</si>
  <si>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</si>
  <si>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</si>
  <si>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</si>
  <si>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</si>
  <si>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</si>
  <si>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</si>
  <si>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</si>
  <si>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</si>
  <si>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</si>
  <si>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</si>
  <si>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</si>
  <si>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</si>
  <si>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</si>
  <si>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</si>
  <si>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</si>
  <si>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</si>
  <si>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</si>
  <si>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</si>
  <si>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</si>
  <si>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</si>
  <si>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</si>
  <si>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</si>
  <si>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</si>
  <si>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</si>
  <si>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</si>
  <si>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</si>
  <si>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</si>
  <si>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</si>
  <si>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</si>
  <si>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</si>
  <si>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</si>
  <si>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</si>
  <si>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</si>
  <si>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</si>
  <si>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</si>
  <si>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</si>
  <si>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</si>
  <si>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</si>
  <si>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</si>
  <si>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</si>
  <si>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</si>
  <si>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</si>
  <si>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</si>
  <si>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</si>
  <si>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</si>
  <si>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</si>
  <si>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</si>
  <si>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</si>
  <si>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</si>
  <si>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</si>
  <si>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</si>
  <si>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</si>
  <si>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</si>
  <si>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</si>
  <si>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</si>
  <si>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</si>
  <si>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</si>
  <si>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</si>
  <si>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</si>
  <si>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</si>
  <si>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</si>
  <si>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</si>
  <si>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</si>
  <si>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</si>
  <si>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</si>
  <si>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</si>
  <si>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</si>
  <si>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</si>
  <si>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</si>
  <si>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</si>
  <si>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</si>
  <si>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</si>
  <si>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</si>
  <si>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</si>
  <si>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</si>
  <si>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</si>
  <si>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</si>
  <si>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</si>
  <si>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</si>
  <si>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1) Materie prime, sussidiarie, di consumo e di merci</t>
  </si>
  <si>
    <t>2) Servizi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</si>
  <si>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</si>
  <si>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</si>
  <si>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</si>
  <si>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</si>
  <si>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</si>
  <si>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</si>
  <si>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</si>
  <si>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</si>
  <si>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</si>
  <si>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</si>
  <si>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</si>
  <si>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</si>
  <si>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</si>
  <si>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</si>
  <si>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</si>
  <si>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</si>
  <si>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</si>
  <si>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</si>
  <si>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</si>
  <si>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</si>
  <si>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</si>
  <si>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</si>
  <si>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</si>
  <si>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</si>
  <si>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</si>
  <si>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</si>
  <si>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</si>
  <si>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</si>
  <si>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</si>
  <si>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</si>
  <si>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</si>
  <si>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</si>
  <si>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</si>
  <si>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</si>
  <si>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</si>
  <si>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</si>
  <si>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</si>
  <si>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</si>
  <si>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</si>
  <si>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</si>
  <si>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</si>
  <si>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</si>
  <si>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</si>
  <si>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</si>
  <si>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</si>
  <si>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</si>
  <si>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</si>
  <si>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</si>
  <si>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</si>
  <si>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</si>
  <si>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</si>
  <si>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</si>
  <si>
    <t>U.A.2.1</t>
  </si>
  <si>
    <t>Prova sottovoce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</si>
</sst>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8</xdr:col>
          <xdr:colOff>561975</xdr:colOff>
          <xdr:row>13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140932</xdr:colOff>
      <xdr:row>1</xdr:row>
      <xdr:rowOff>160369</xdr:rowOff>
    </xdr:from>
    <xdr:to>
      <xdr:col>11</xdr:col>
      <xdr:colOff>179809</xdr:colOff>
      <xdr:row>3</xdr:row>
      <xdr:rowOff>87474</xdr:rowOff>
    </xdr:to>
    <xdr:sp macro="[0]!CalcolaBilancio" textlink="">
      <xdr:nvSpPr>
        <xdr:cNvPr id="2" name="Rettangolo arrotondato 1"/>
        <xdr:cNvSpPr/>
      </xdr:nvSpPr>
      <xdr:spPr>
        <a:xfrm>
          <a:off x="7056276" y="349897"/>
          <a:ext cx="1861263" cy="3061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7" totalsRowShown="0">
  <autoFilter ref="A1:G87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13" totalsRowShown="0">
  <autoFilter ref="A1:H13"/>
  <tableColumns count="8">
    <tableColumn id="1" name="Data" dataDxfId="5"/>
    <tableColumn id="2" name="Descrizione"/>
    <tableColumn id="3" name="CodiceVoce"/>
    <tableColumn id="4" name="Voc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200"/>
  <sheetViews>
    <sheetView zoomScale="151" workbookViewId="0">
      <selection activeCell="G87" sqref="G87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165</v>
      </c>
      <c r="D1" s="3" t="s">
        <v>1</v>
      </c>
      <c r="E1" s="6" t="s">
        <v>2</v>
      </c>
      <c r="F1" s="6" t="s">
        <v>3</v>
      </c>
      <c r="G1" t="s">
        <v>134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166</v>
      </c>
      <c r="D3" s="3" t="s">
        <v>183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167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168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169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170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171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180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167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168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169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170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171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172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167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168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169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173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167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168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169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170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171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174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167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168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169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170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171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166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167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168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169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170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171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175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176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177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178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179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180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167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168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169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170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171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175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172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167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168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169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173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167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168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169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170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171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174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167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168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135</v>
      </c>
      <c r="D63" s="1" t="s">
        <v>136</v>
      </c>
      <c r="E63" s="1">
        <v>44197</v>
      </c>
    </row>
    <row r="64" spans="1:7" x14ac:dyDescent="0.25">
      <c r="A64" s="2">
        <f t="shared" si="0"/>
        <v>63</v>
      </c>
      <c r="B64" t="s">
        <v>137</v>
      </c>
      <c r="D64" s="9" t="s">
        <v>138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140</v>
      </c>
      <c r="D69" s="3" t="s">
        <v>139</v>
      </c>
      <c r="E69" s="1">
        <v>44197</v>
      </c>
    </row>
    <row r="70" spans="1:7" x14ac:dyDescent="0.25">
      <c r="A70" s="2">
        <f t="shared" si="1"/>
        <v>69</v>
      </c>
      <c r="B70" t="s">
        <v>141</v>
      </c>
      <c r="C70">
        <v>10</v>
      </c>
      <c r="D70" s="3" t="s">
        <v>133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142</v>
      </c>
      <c r="C71">
        <v>6</v>
      </c>
      <c r="D71" s="3" t="s">
        <v>133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143</v>
      </c>
      <c r="C72">
        <v>3</v>
      </c>
      <c r="D72" s="3" t="s">
        <v>133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144</v>
      </c>
      <c r="C73">
        <v>5</v>
      </c>
      <c r="D73" s="3" t="s">
        <v>133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145</v>
      </c>
      <c r="C74">
        <v>5</v>
      </c>
      <c r="D74" s="3" t="s">
        <v>133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146</v>
      </c>
      <c r="C75">
        <v>10</v>
      </c>
      <c r="D75" s="3" t="s">
        <v>133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147</v>
      </c>
      <c r="D76" s="3" t="s">
        <v>152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148</v>
      </c>
      <c r="C77">
        <v>6</v>
      </c>
      <c r="D77" s="3" t="s">
        <v>133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149</v>
      </c>
      <c r="D78" s="3" t="s">
        <v>153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150</v>
      </c>
      <c r="C79">
        <v>3</v>
      </c>
      <c r="D79" s="3" t="s">
        <v>133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154</v>
      </c>
      <c r="D80" s="3" t="s">
        <v>155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156</v>
      </c>
      <c r="C81">
        <v>5</v>
      </c>
      <c r="D81" s="3" t="s">
        <v>133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157</v>
      </c>
      <c r="D82" s="3" t="s">
        <v>151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158</v>
      </c>
      <c r="C83">
        <v>5</v>
      </c>
      <c r="D83" s="3" t="s">
        <v>133</v>
      </c>
      <c r="E83" s="1">
        <v>44197</v>
      </c>
      <c r="G83">
        <v>44</v>
      </c>
    </row>
    <row r="84" spans="1:7" x14ac:dyDescent="0.25">
      <c r="A84" s="2">
        <f t="shared" ref="A84:A86" si="3">A83+1</f>
        <v>83</v>
      </c>
      <c r="B84" t="s">
        <v>159</v>
      </c>
      <c r="D84" s="3" t="s">
        <v>160</v>
      </c>
      <c r="E84" s="1">
        <v>44197</v>
      </c>
      <c r="G84">
        <v>45</v>
      </c>
    </row>
    <row r="85" spans="1:7" x14ac:dyDescent="0.25">
      <c r="A85" s="2">
        <f t="shared" si="3"/>
        <v>84</v>
      </c>
      <c r="B85" t="s">
        <v>161</v>
      </c>
      <c r="D85" s="3" t="s">
        <v>162</v>
      </c>
      <c r="E85" s="1">
        <v>44197</v>
      </c>
      <c r="G85">
        <v>46</v>
      </c>
    </row>
    <row r="86" spans="1:7" x14ac:dyDescent="0.25">
      <c r="A86" s="2">
        <f t="shared" si="3"/>
        <v>85</v>
      </c>
      <c r="B86" t="s">
        <v>164</v>
      </c>
      <c r="D86" s="3" t="s">
        <v>163</v>
      </c>
      <c r="E86" s="1">
        <v>44197</v>
      </c>
      <c r="G86">
        <v>47</v>
      </c>
    </row>
    <row r="87" spans="1:7" x14ac:dyDescent="0.25">
      <c r="A87" s="2">
        <v>86</v>
      </c>
      <c r="B87" t="s">
        <v>185</v>
      </c>
      <c r="D87" s="3" t="s">
        <v>186</v>
      </c>
      <c r="E87" s="1">
        <v>44197</v>
      </c>
    </row>
    <row r="88" spans="1:7" x14ac:dyDescent="0.25">
      <c r="E88" s="1"/>
    </row>
    <row r="89" spans="1:7" x14ac:dyDescent="0.25">
      <c r="E89" s="1"/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C1 B1:B80 C87:C1048576 B84:B1048576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500"/>
  <sheetViews>
    <sheetView tabSelected="1" zoomScale="150" workbookViewId="0">
      <selection activeCell="F13" sqref="F13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8" x14ac:dyDescent="0.25">
      <c r="A1" s="6" t="s">
        <v>108</v>
      </c>
      <c r="B1" t="s">
        <v>1</v>
      </c>
      <c r="C1" t="s">
        <v>181</v>
      </c>
      <c r="D1" t="s">
        <v>182</v>
      </c>
      <c r="E1" t="s">
        <v>109</v>
      </c>
      <c r="F1" t="s">
        <v>110</v>
      </c>
      <c r="G1" t="s">
        <v>124</v>
      </c>
      <c r="H1" t="s">
        <v>115</v>
      </c>
    </row>
    <row r="2" spans="1:8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</row>
    <row r="3" spans="1:8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</row>
    <row r="4" spans="1:8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</row>
    <row r="5" spans="1:8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</row>
    <row r="6" spans="1:8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</row>
    <row r="7" spans="1:8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</row>
    <row r="8" spans="1:8" x14ac:dyDescent="0.25">
      <c r="C8" t="s">
        <v>49</v>
      </c>
      <c r="D8" t="s">
        <v>132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</row>
    <row r="9" spans="1:8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</row>
    <row r="10" spans="1:8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</row>
    <row r="11" spans="1:8" x14ac:dyDescent="0.25">
      <c r="C11" t="s">
        <v>48</v>
      </c>
      <c r="D11" t="s">
        <v>131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</row>
    <row r="12" spans="1:8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</row>
    <row r="13" spans="1:8" x14ac:dyDescent="0.25">
      <c r="C13" t="s">
        <v>185</v>
      </c>
      <c r="D13" t="s">
        <v>186</v>
      </c>
      <c r="E13">
        <v>7</v>
      </c>
      <c r="F13" t="s">
        <v>111</v>
      </c>
      <c r="G13" s="7">
        <f>SUMIF(INDEX(Tabella2[Tipo],1):Tabella2[[#This Row],[Tipo]],Tabella2[[#This Row],[Tipo]],INDEX(Tabella2[Importo],1):Tabella2[[#This Row],[Importo]])</f>
        <v>167</v>
      </c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  <row r="1500" spans="1:7" x14ac:dyDescent="0.25">
      <c r="A1500"/>
      <c r="G1500"/>
    </row>
  </sheetData>
  <dataConsolidate link="1"/>
  <conditionalFormatting sqref="G1:G13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3" r:id="rId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8</xdr:col>
                <xdr:colOff>561975</xdr:colOff>
                <xdr:row>13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184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Cassa_2020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2021-02-18T22:50:49Z</dcterms:modified>
</cp:coreProperties>
</file>