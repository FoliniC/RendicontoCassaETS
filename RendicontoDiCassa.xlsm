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filterPrivacy="1" codeName="Questa_cartella_di_lavoro"/>
  <xr:revisionPtr revIDLastSave="862" documentId="14_{8833CA48-F34E-49F0-A15B-D97B5A48080E}" xr6:coauthVersionLast="47" xr6:coauthVersionMax="47" xr10:uidLastSave="{A244A6E7-A09B-4DC7-96F0-0F3FBECD805B}"/>
  <bookViews>
    <workbookView xWindow="-110" yWindow="-110" windowWidth="19420" windowHeight="11020" activeTab="1" xr2:uid="{00000000-000D-0000-FFFF-FFFF00000000}"/>
  </bookViews>
  <sheets>
    <sheet name="VociRendiconto" sheetId="1" r:id="rId1"/>
    <sheet name="Bilancio_2024" sheetId="10" r:id="rId2"/>
    <sheet name="Cassa_2024" sheetId="2" r:id="rId3"/>
    <sheet name="Raggruppamenti" sheetId="6" r:id="rId4"/>
    <sheet name="Bilancio" sheetId="5" r:id="rId5"/>
    <sheet name="Rapporti" sheetId="3" r:id="rId6"/>
    <sheet name="Info" sheetId="4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2" i="10" l="1"/>
  <c r="E47" i="10"/>
  <c r="E44" i="10"/>
  <c r="E45" i="10" s="1"/>
  <c r="B44" i="10"/>
  <c r="E37" i="10"/>
  <c r="E36" i="10"/>
  <c r="B36" i="10"/>
  <c r="E28" i="10"/>
  <c r="E29" i="10" s="1"/>
  <c r="B28" i="10"/>
  <c r="E22" i="10"/>
  <c r="E23" i="10" s="1"/>
  <c r="B22" i="10"/>
  <c r="E13" i="10"/>
  <c r="E14" i="10" s="1"/>
  <c r="B13" i="10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I15" i="2"/>
  <c r="I16" i="2"/>
  <c r="I3" i="2"/>
  <c r="I4" i="2"/>
  <c r="I5" i="2"/>
  <c r="I7" i="2"/>
  <c r="I8" i="2"/>
  <c r="I9" i="2"/>
  <c r="I10" i="2"/>
  <c r="I11" i="2"/>
  <c r="I12" i="2"/>
  <c r="I13" i="2"/>
  <c r="I14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A90" i="1"/>
  <c r="A91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I2" i="2" l="1"/>
  <c r="I6" i="2" s="1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  <c r="E48" i="10"/>
  <c r="E49" i="10"/>
</calcChain>
</file>

<file path=xl/sharedStrings.xml><?xml version="1.0" encoding="utf-8"?>
<sst xmlns="http://schemas.openxmlformats.org/spreadsheetml/2006/main" count="437" uniqueCount="264">
  <si>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</si>
  <si>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</si>
  <si>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</si>
  <si>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</si>
  <si>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</si>
  <si>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</si>
  <si>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</si>
  <si>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</si>
  <si>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</si>
  <si>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</si>
  <si>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</si>
  <si>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</si>
  <si>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</si>
  <si>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</si>
  <si>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</si>
  <si>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</si>
  <si>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</si>
  <si>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</si>
  <si>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</si>
  <si>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</si>
  <si>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</si>
  <si>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</si>
  <si>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</si>
  <si>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</si>
  <si>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</si>
  <si>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</si>
  <si>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</si>
  <si>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</si>
  <si>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</si>
  <si>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</si>
  <si>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</si>
  <si>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</si>
  <si>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</si>
  <si>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</si>
  <si>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</si>
  <si>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</si>
  <si>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</si>
  <si>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</si>
  <si>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</si>
  <si>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</si>
  <si>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</si>
  <si>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</si>
  <si>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</si>
  <si>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</si>
  <si>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</si>
  <si>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</si>
  <si>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</si>
  <si>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</si>
  <si>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</si>
  <si>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</si>
  <si>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</si>
  <si>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</si>
  <si>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</si>
  <si>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</si>
  <si>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</si>
  <si>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</si>
  <si>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</si>
  <si>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</si>
  <si>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</si>
  <si>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</si>
  <si>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</si>
  <si>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</si>
  <si>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</si>
  <si>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</si>
  <si>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</si>
  <si>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</si>
  <si>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</si>
  <si>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</si>
  <si>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</si>
  <si>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</si>
  <si>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</si>
  <si>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</si>
  <si>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</si>
  <si>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</si>
  <si>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</si>
  <si>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</si>
  <si>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</si>
  <si>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</si>
  <si>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</si>
  <si>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</si>
  <si>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</si>
  <si>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</si>
  <si>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</si>
  <si>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</si>
  <si>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</si>
  <si>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</si>
  <si>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</si>
  <si>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</si>
  <si>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</si>
  <si>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</si>
  <si>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</si>
  <si>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</si>
  <si>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</si>
  <si>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</si>
  <si>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</si>
  <si>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</si>
  <si>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</si>
  <si>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</si>
  <si>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</si>
  <si>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</si>
  <si>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</si>
  <si>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</si>
  <si>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</si>
  <si>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</si>
  <si>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</si>
  <si>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</si>
  <si>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</si>
  <si>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</si>
  <si>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</si>
  <si>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</si>
  <si>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</si>
  <si>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</si>
  <si>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</si>
  <si>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</si>
  <si>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</si>
  <si>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</si>
  <si>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</si>
  <si>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</si>
  <si>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</si>
  <si>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</si>
  <si>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</si>
  <si>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</si>
  <si>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</si>
  <si>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</si>
  <si>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</si>
  <si>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</si>
  <si>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</si>
  <si>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</si>
  <si>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</si>
  <si>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</si>
  <si>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</si>
  <si>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</si>
  <si>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</si>
  <si>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</si>
  <si>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</si>
  <si>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</si>
  <si>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</si>
  <si>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</si>
  <si>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</si>
  <si>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</si>
  <si>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</si>
  <si>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</si>
  <si>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</si>
  <si>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</si>
  <si>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</si>
  <si>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</si>
  <si>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</si>
  <si>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</si>
  <si>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</si>
  <si>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</si>
  <si>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</si>
  <si>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</si>
  <si>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</si>
  <si>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</si>
  <si>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</si>
  <si>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</si>
  <si>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</si>
  <si>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</si>
  <si>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</si>
  <si>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</si>
  <si>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</si>
  <si>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</si>
  <si>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</si>
  <si>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</si>
  <si>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</si>
  <si>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</si>
  <si>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</si>
  <si>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</si>
  <si>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</si>
  <si>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</si>
  <si>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</si>
  <si>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</si>
  <si>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</si>
  <si>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</si>
  <si>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</si>
  <si>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</si>
  <si>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</si>
  <si>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</si>
  <si>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</si>
  <si>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</si>
  <si>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</si>
  <si>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</si>
  <si>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Ratifica spese volontario A</t>
  </si>
  <si>
    <t>Ratifica spese volontario B</t>
  </si>
  <si>
    <t>Subtotale</t>
  </si>
  <si>
    <t>Z.U.11</t>
  </si>
  <si>
    <t>Totale uscite della gestione</t>
  </si>
  <si>
    <t>Totale entrate della gestione</t>
  </si>
  <si>
    <t>Z.E.13</t>
  </si>
  <si>
    <t>Z.E.14</t>
  </si>
  <si>
    <t>Avanzo/disavanzo di supporto generale</t>
  </si>
  <si>
    <t>Saldo iniziale cassa</t>
  </si>
  <si>
    <t>Saldo finale cassa</t>
  </si>
  <si>
    <t>Z.Z.5</t>
  </si>
  <si>
    <t>Saldo iniziale CC</t>
  </si>
  <si>
    <t>Z.Z.6</t>
  </si>
  <si>
    <t>Saldo finale CC</t>
  </si>
  <si>
    <t>U.A.2.1</t>
  </si>
  <si>
    <t>Giornata piante edibili</t>
  </si>
  <si>
    <t>E.A.7.1</t>
  </si>
  <si>
    <t>Z.U.12</t>
  </si>
  <si>
    <t>Z.U.13</t>
  </si>
  <si>
    <t>Z.U.14</t>
  </si>
  <si>
    <t>Totale generale</t>
  </si>
  <si>
    <t>Comune</t>
  </si>
  <si>
    <t>quote</t>
  </si>
  <si>
    <t>Contributi</t>
  </si>
  <si>
    <t>Altro</t>
  </si>
  <si>
    <t>Sito web</t>
  </si>
  <si>
    <t>descrizione</t>
  </si>
  <si>
    <t>donazioni</t>
  </si>
  <si>
    <t>acquisti</t>
  </si>
  <si>
    <t>fondi</t>
  </si>
  <si>
    <t>distacco</t>
  </si>
  <si>
    <t xml:space="preserve"> Uscite</t>
  </si>
  <si>
    <t>A) Uscite da attività di interesse generale</t>
  </si>
  <si>
    <t>1) Materie prime, sussidiarie, di consumo e di merci</t>
  </si>
  <si>
    <t>2) Servizi</t>
  </si>
  <si>
    <t>3) Godimento beni di terzi</t>
  </si>
  <si>
    <t>4) Personale</t>
  </si>
  <si>
    <t>5) Uscite diverse di gestione</t>
  </si>
  <si>
    <t>B) Uscite da attività diverse</t>
  </si>
  <si>
    <t>C) Uscite da attività di raccolta fondi</t>
  </si>
  <si>
    <t>1) Uscite per raccolte fondi abituali</t>
  </si>
  <si>
    <t>2) Uscite per raccolte fondi occasionali</t>
  </si>
  <si>
    <t>3) Altre uscite</t>
  </si>
  <si>
    <t>D) Uscite da attività finanziarie e patrimoniali</t>
  </si>
  <si>
    <t>1) Su rapporti bancari</t>
  </si>
  <si>
    <t>2) Su investimenti finanziari</t>
  </si>
  <si>
    <t>3) Su patrimonio edilizio</t>
  </si>
  <si>
    <t>4) Su altri beni patrimoniali</t>
  </si>
  <si>
    <t>5) Altre uscite</t>
  </si>
  <si>
    <t>E) Uscite di supporto generale</t>
  </si>
  <si>
    <t xml:space="preserve"> Entrate</t>
  </si>
  <si>
    <t>A) Entrate da attività di interesse generale</t>
  </si>
  <si>
    <t>1) Entrate da quote associative e apporti dei fondatori</t>
  </si>
  <si>
    <t>2) Entrate dagli associati per attività mutuali</t>
  </si>
  <si>
    <t>3) Entrate per prestazioni e cessioni ad associati e fondatori</t>
  </si>
  <si>
    <t>4) Erogazioni liberali</t>
  </si>
  <si>
    <t>5) Entrate del 5 per mille</t>
  </si>
  <si>
    <t>6) Contributi da soggetti privati</t>
  </si>
  <si>
    <t>7) Entrate per prestazioni e cessioni a terzi</t>
  </si>
  <si>
    <t>8) Contributi da enti pubblici</t>
  </si>
  <si>
    <t>9) Entrate da contratti con enti pubblici</t>
  </si>
  <si>
    <t>10) Altre entrate</t>
  </si>
  <si>
    <t>B) Entrate da attività diverse</t>
  </si>
  <si>
    <t>1) Entrate per prestazioni e cessioni ad associati e fondatori</t>
  </si>
  <si>
    <t>2) Contributi da soggetti privati</t>
  </si>
  <si>
    <t>3) Entrate per prestazioni e cessioni a terzi</t>
  </si>
  <si>
    <t>5) Contributi da enti pubblici</t>
  </si>
  <si>
    <t>6) Altre entrate</t>
  </si>
  <si>
    <t>C) Entrate da attività di raccolta fondi</t>
  </si>
  <si>
    <t>1) Entrate da raccolte fondi abituali</t>
  </si>
  <si>
    <t>2) Entrate da raccolte fondi occasionali</t>
  </si>
  <si>
    <t>3) Altre Entrate</t>
  </si>
  <si>
    <t>D) Entrate da attività finanziarie e patrimoniali</t>
  </si>
  <si>
    <t>1) Da rapporti bancari</t>
  </si>
  <si>
    <t>2) Da investimenti finanziari</t>
  </si>
  <si>
    <t>3) Da patrimonio edilizio</t>
  </si>
  <si>
    <t>4) Da altri beni patrimoniali</t>
  </si>
  <si>
    <t>5) Altre entrate</t>
  </si>
  <si>
    <t>E) Entrate di supporto generale</t>
  </si>
  <si>
    <t>1) Entrate da distacco del personale</t>
  </si>
  <si>
    <t>2) Altre entrate di supporto generale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</si>
</sst>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/m/yyyy;@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0212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Alignment="1">
      <alignment vertical="center"/>
    </xf>
    <xf numFmtId="0" fontId="1" fillId="0" borderId="0" xfId="1"/>
    <xf numFmtId="14" fontId="0" fillId="0" borderId="0" xfId="0" applyNumberFormat="1"/>
    <xf numFmtId="2" fontId="0" fillId="0" borderId="0" xfId="0" applyNumberFormat="1"/>
    <xf numFmtId="0" fontId="0" fillId="2" borderId="1" xfId="0" applyFill="1" applyBorder="1"/>
    <xf numFmtId="0" fontId="3" fillId="0" borderId="0" xfId="0" applyFont="1"/>
    <xf numFmtId="165" fontId="4" fillId="0" borderId="0" xfId="0" applyNumberFormat="1" applyFont="1"/>
    <xf numFmtId="0" fontId="4" fillId="0" borderId="0" xfId="0" applyFont="1"/>
    <xf numFmtId="0" fontId="5" fillId="0" borderId="0" xfId="0" applyFont="1"/>
    <xf numFmtId="0" fontId="2" fillId="3" borderId="2" xfId="0" applyFont="1" applyFill="1" applyBorder="1"/>
    <xf numFmtId="0" fontId="0" fillId="3" borderId="2" xfId="0" applyFill="1" applyBorder="1"/>
    <xf numFmtId="0" fontId="2" fillId="4" borderId="2" xfId="0" applyFont="1" applyFill="1" applyBorder="1"/>
    <xf numFmtId="0" fontId="0" fillId="4" borderId="2" xfId="0" applyFill="1" applyBorder="1"/>
    <xf numFmtId="0" fontId="0" fillId="3" borderId="2" xfId="0" applyFill="1" applyBorder="1" applyAlignment="1">
      <alignment horizontal="right"/>
    </xf>
    <xf numFmtId="0" fontId="0" fillId="4" borderId="2" xfId="0" applyFill="1" applyBorder="1" applyAlignment="1">
      <alignment horizontal="right"/>
    </xf>
  </cellXfs>
  <cellStyles count="2">
    <cellStyle name="Collegamento ipertestuale" xfId="1" builtinId="8"/>
    <cellStyle name="Normale" xfId="0" builtinId="0"/>
  </cellStyles>
  <dxfs count="16">
    <dxf>
      <font>
        <color theme="0"/>
      </font>
    </dxf>
    <dxf>
      <numFmt numFmtId="164" formatCode="0;\-0;;@"/>
    </dxf>
    <dxf>
      <font>
        <color theme="0"/>
      </font>
    </dxf>
    <dxf>
      <numFmt numFmtId="164" formatCode="0;\-0;;@"/>
    </dxf>
    <dxf>
      <font>
        <color theme="0"/>
      </font>
    </dxf>
    <dxf>
      <numFmt numFmtId="164" formatCode="0;\-0;;@"/>
    </dxf>
    <dxf>
      <font>
        <color theme="0"/>
      </font>
    </dxf>
    <dxf>
      <numFmt numFmtId="164" formatCode="0;\-0;;@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8</xdr:col>
          <xdr:colOff>20863</xdr:colOff>
          <xdr:row>15</xdr:row>
          <xdr:rowOff>69850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153632</xdr:colOff>
      <xdr:row>1</xdr:row>
      <xdr:rowOff>1619</xdr:rowOff>
    </xdr:from>
    <xdr:to>
      <xdr:col>12</xdr:col>
      <xdr:colOff>192509</xdr:colOff>
      <xdr:row>2</xdr:row>
      <xdr:rowOff>119224</xdr:rowOff>
    </xdr:to>
    <xdr:sp macro="[0]!Questa_cartella_di_lavoro.CalcolaBilancio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02482" y="192119"/>
          <a:ext cx="1867677" cy="308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13</xdr:col>
      <xdr:colOff>367068</xdr:colOff>
      <xdr:row>4</xdr:row>
      <xdr:rowOff>99981</xdr:rowOff>
    </xdr:to>
    <xdr:sp macro="[1]!Questa_cartella_di_lavoro.CalcolaBilancio" textlink="">
      <xdr:nvSpPr>
        <xdr:cNvPr id="3" name="Rettangolo arrotondato 4">
          <a:extLst>
            <a:ext uri="{FF2B5EF4-FFF2-40B4-BE49-F238E27FC236}">
              <a16:creationId xmlns:a16="http://schemas.microsoft.com/office/drawing/2014/main" id="{7C875F7A-DE30-4FBC-97F5-F589894B729D}"/>
            </a:ext>
          </a:extLst>
        </xdr:cNvPr>
        <xdr:cNvSpPr/>
      </xdr:nvSpPr>
      <xdr:spPr>
        <a:xfrm>
          <a:off x="16402050" y="495300"/>
          <a:ext cx="1586268" cy="2650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ialeformica-my.sharepoint.com/personal/info_vialeformica_org/Documents/Documenti/GoogleDrive/Bilanci/RendicontoDiCassaViale2023.xlsm" TargetMode="External"/><Relationship Id="rId1" Type="http://schemas.openxmlformats.org/officeDocument/2006/relationships/externalLinkPath" Target="/personal/info_vialeformica_org/Documents/Documenti/GoogleDrive/Bilanci/RendicontoDiCassaViale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1"/>
      <sheetName val="VociRendiconto"/>
      <sheetName val="Bilancio_2024"/>
      <sheetName val="Cassa_2024"/>
      <sheetName val="Bilancio_2023"/>
      <sheetName val="Cassa_2023"/>
      <sheetName val="Cassa_2022"/>
      <sheetName val="Bilancio_2022"/>
      <sheetName val="Cassa_2021"/>
      <sheetName val="Bilancio_2021"/>
      <sheetName val="Cassa_2020"/>
      <sheetName val="Bilancio_2020"/>
      <sheetName val="Raggruppamenti"/>
      <sheetName val="Bilancio"/>
      <sheetName val="Rapporti"/>
      <sheetName val="Info"/>
    </sheetNames>
    <definedNames>
      <definedName name="Questa_cartella_di_lavoro.CalcolaBilancio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66F316-E63C-42DC-A2AD-6690F437FB03}" name="ElencoVoci" displayName="ElencoVoci" ref="A1:G96" totalsRowShown="0">
  <autoFilter ref="A1:G96" xr:uid="{5266F316-E63C-42DC-A2AD-6690F437FB03}"/>
  <tableColumns count="7">
    <tableColumn id="1" xr3:uid="{893011F6-1F35-43A0-A05E-E3798AF75192}" name="Id" dataDxfId="11"/>
    <tableColumn id="2" xr3:uid="{F8FFCD8E-5AE7-4396-9713-EAE2A2E672E0}" name="Codice"/>
    <tableColumn id="7" xr3:uid="{C3A74BAB-191A-4A79-81F8-37E897BF633C}" name="ElencoPuntato"/>
    <tableColumn id="3" xr3:uid="{B3A3C810-6476-4609-98A2-CEE0D5510B73}" name="Descrizione" dataDxfId="10"/>
    <tableColumn id="4" xr3:uid="{52ACF2D4-116B-40ED-A9F8-A735CAD22525}" name="DataInizio" dataDxfId="9"/>
    <tableColumn id="5" xr3:uid="{A4292187-5539-4C78-B96B-7C29954CAD52}" name="DataFine" dataDxfId="8"/>
    <tableColumn id="6" xr3:uid="{DB1DC4B7-E212-43A0-81E4-57B102CF5E91}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2" displayName="Tabella2" ref="A1:I29" totalsRowShown="0">
  <autoFilter ref="A1:I29" xr:uid="{00000000-0009-0000-0100-000002000000}"/>
  <tableColumns count="9">
    <tableColumn id="1" xr3:uid="{00000000-0010-0000-0100-000001000000}" name="Data" dataDxfId="15"/>
    <tableColumn id="2" xr3:uid="{00000000-0010-0000-0100-000002000000}" name="Descrizione"/>
    <tableColumn id="3" xr3:uid="{00000000-0010-0000-0100-000003000000}" name="CodiceVoce"/>
    <tableColumn id="4" xr3:uid="{00000000-0010-0000-0100-000004000000}" name="Voce"/>
    <tableColumn id="5" xr3:uid="{00000000-0010-0000-0100-000005000000}" name="Importo"/>
    <tableColumn id="6" xr3:uid="{00000000-0010-0000-0100-000006000000}" name="Tipo"/>
    <tableColumn id="7" xr3:uid="{00000000-0010-0000-0100-000007000000}" name="Saldo" dataDxfId="14">
      <calculatedColumnFormula>SUMIF(INDEX(Tabella2[Tipo],1):Tabella2[[#This Row],[Tipo]],Tabella2[[#This Row],[Tipo]],INDEX(Tabella2[Importo],1):Tabella2[[#This Row],[Importo]])</calculatedColumnFormula>
    </tableColumn>
    <tableColumn id="8" xr3:uid="{00000000-0010-0000-0100-000008000000}" name="Raggruppamento"/>
    <tableColumn id="9" xr3:uid="{00000000-0010-0000-0100-000009000000}" name="Subtotale">
      <calculatedColumnFormula>IF(AND(H2&lt;&gt;"",H3&lt;&gt;H2),SUM(E$2:E2)-SUM(I$1:I1),"")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la1" displayName="Tabella1" ref="A1:C13" totalsRowShown="0">
  <autoFilter ref="A1:C13" xr:uid="{00000000-0009-0000-0100-000004000000}"/>
  <tableColumns count="3">
    <tableColumn id="1" xr3:uid="{00000000-0010-0000-0200-000001000000}" name="Product"/>
    <tableColumn id="2" xr3:uid="{00000000-0010-0000-0200-000002000000}" name="value" dataDxfId="13"/>
    <tableColumn id="3" xr3:uid="{00000000-0010-0000-0200-000003000000}" name="total" dataDxfId="1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G1500"/>
  <sheetViews>
    <sheetView topLeftCell="A69" zoomScale="151" workbookViewId="0">
      <selection sqref="A1:XFD1048576"/>
    </sheetView>
  </sheetViews>
  <sheetFormatPr defaultRowHeight="14.5" x14ac:dyDescent="0.35"/>
  <cols>
    <col min="1" max="1" width="11.26953125" style="2" bestFit="1" customWidth="1"/>
    <col min="2" max="2" width="15.81640625" customWidth="1"/>
    <col min="3" max="3" width="19.26953125" customWidth="1"/>
    <col min="4" max="4" width="45.54296875" bestFit="1" customWidth="1"/>
    <col min="5" max="5" width="12" style="5" bestFit="1" customWidth="1"/>
    <col min="6" max="6" width="11.1796875" style="5" bestFit="1" customWidth="1"/>
  </cols>
  <sheetData>
    <row r="1" spans="1:7" x14ac:dyDescent="0.35">
      <c r="A1" s="2" t="s">
        <v>45</v>
      </c>
      <c r="B1" t="s">
        <v>0</v>
      </c>
      <c r="C1" t="s">
        <v>162</v>
      </c>
      <c r="D1" t="s">
        <v>1</v>
      </c>
      <c r="E1" s="5" t="s">
        <v>2</v>
      </c>
      <c r="F1" s="5" t="s">
        <v>3</v>
      </c>
      <c r="G1" t="s">
        <v>131</v>
      </c>
    </row>
    <row r="2" spans="1:7" x14ac:dyDescent="0.35">
      <c r="A2" s="2">
        <v>1</v>
      </c>
      <c r="B2" t="s">
        <v>46</v>
      </c>
      <c r="D2" t="s">
        <v>77</v>
      </c>
      <c r="E2" s="1">
        <v>44197</v>
      </c>
      <c r="G2">
        <v>1</v>
      </c>
    </row>
    <row r="3" spans="1:7" x14ac:dyDescent="0.35">
      <c r="A3" s="2">
        <f>A2+1</f>
        <v>2</v>
      </c>
      <c r="B3" t="s">
        <v>47</v>
      </c>
      <c r="C3" t="s">
        <v>163</v>
      </c>
      <c r="D3" t="s">
        <v>180</v>
      </c>
      <c r="E3" s="1">
        <v>44197</v>
      </c>
      <c r="G3">
        <v>2</v>
      </c>
    </row>
    <row r="4" spans="1:7" x14ac:dyDescent="0.35">
      <c r="A4" s="2">
        <f>A3+1</f>
        <v>3</v>
      </c>
      <c r="B4" t="s">
        <v>48</v>
      </c>
      <c r="C4" t="s">
        <v>164</v>
      </c>
      <c r="D4" t="s">
        <v>6</v>
      </c>
      <c r="E4" s="1">
        <v>44197</v>
      </c>
      <c r="G4">
        <v>4</v>
      </c>
    </row>
    <row r="5" spans="1:7" x14ac:dyDescent="0.35">
      <c r="A5" s="2">
        <f t="shared" ref="A5:A68" si="0">A4+1</f>
        <v>4</v>
      </c>
      <c r="B5" t="s">
        <v>49</v>
      </c>
      <c r="C5" t="s">
        <v>165</v>
      </c>
      <c r="D5" t="s">
        <v>8</v>
      </c>
      <c r="E5" s="1">
        <v>44197</v>
      </c>
      <c r="G5">
        <v>5</v>
      </c>
    </row>
    <row r="6" spans="1:7" x14ac:dyDescent="0.35">
      <c r="A6" s="2">
        <f t="shared" si="0"/>
        <v>5</v>
      </c>
      <c r="B6" t="s">
        <v>50</v>
      </c>
      <c r="C6" t="s">
        <v>166</v>
      </c>
      <c r="D6" t="s">
        <v>10</v>
      </c>
      <c r="E6" s="1">
        <v>44197</v>
      </c>
      <c r="G6">
        <v>7</v>
      </c>
    </row>
    <row r="7" spans="1:7" x14ac:dyDescent="0.35">
      <c r="A7" s="2">
        <f t="shared" si="0"/>
        <v>6</v>
      </c>
      <c r="B7" t="s">
        <v>51</v>
      </c>
      <c r="C7" t="s">
        <v>167</v>
      </c>
      <c r="D7" t="s">
        <v>13</v>
      </c>
      <c r="E7" s="1">
        <v>44197</v>
      </c>
      <c r="G7">
        <v>8</v>
      </c>
    </row>
    <row r="8" spans="1:7" x14ac:dyDescent="0.35">
      <c r="A8" s="2">
        <f t="shared" si="0"/>
        <v>7</v>
      </c>
      <c r="B8" t="s">
        <v>52</v>
      </c>
      <c r="C8" t="s">
        <v>168</v>
      </c>
      <c r="D8" t="s">
        <v>14</v>
      </c>
      <c r="E8" s="1">
        <v>44197</v>
      </c>
      <c r="G8">
        <v>10</v>
      </c>
    </row>
    <row r="9" spans="1:7" x14ac:dyDescent="0.35">
      <c r="A9" s="2">
        <f t="shared" si="0"/>
        <v>8</v>
      </c>
      <c r="B9" t="s">
        <v>53</v>
      </c>
      <c r="C9" t="s">
        <v>177</v>
      </c>
      <c r="D9" t="s">
        <v>16</v>
      </c>
      <c r="E9" s="1">
        <v>44197</v>
      </c>
      <c r="G9">
        <v>15</v>
      </c>
    </row>
    <row r="10" spans="1:7" x14ac:dyDescent="0.35">
      <c r="A10" s="2">
        <f t="shared" si="0"/>
        <v>9</v>
      </c>
      <c r="B10" t="s">
        <v>54</v>
      </c>
      <c r="C10" t="s">
        <v>164</v>
      </c>
      <c r="D10" t="s">
        <v>6</v>
      </c>
      <c r="E10" s="1">
        <v>44197</v>
      </c>
      <c r="G10">
        <v>16</v>
      </c>
    </row>
    <row r="11" spans="1:7" x14ac:dyDescent="0.35">
      <c r="A11" s="2">
        <f t="shared" si="0"/>
        <v>10</v>
      </c>
      <c r="B11" t="s">
        <v>55</v>
      </c>
      <c r="C11" t="s">
        <v>165</v>
      </c>
      <c r="D11" t="s">
        <v>8</v>
      </c>
      <c r="E11" s="1">
        <v>44197</v>
      </c>
      <c r="G11">
        <v>17</v>
      </c>
    </row>
    <row r="12" spans="1:7" x14ac:dyDescent="0.35">
      <c r="A12" s="2">
        <f t="shared" si="0"/>
        <v>11</v>
      </c>
      <c r="B12" t="s">
        <v>56</v>
      </c>
      <c r="C12" t="s">
        <v>166</v>
      </c>
      <c r="D12" t="s">
        <v>10</v>
      </c>
      <c r="E12" s="1">
        <v>44197</v>
      </c>
      <c r="G12">
        <v>18</v>
      </c>
    </row>
    <row r="13" spans="1:7" x14ac:dyDescent="0.35">
      <c r="A13" s="2">
        <f t="shared" si="0"/>
        <v>12</v>
      </c>
      <c r="B13" t="s">
        <v>57</v>
      </c>
      <c r="C13" t="s">
        <v>167</v>
      </c>
      <c r="D13" t="s">
        <v>13</v>
      </c>
      <c r="E13" s="1">
        <v>44197</v>
      </c>
      <c r="G13">
        <v>19</v>
      </c>
    </row>
    <row r="14" spans="1:7" x14ac:dyDescent="0.35">
      <c r="A14" s="2">
        <f t="shared" si="0"/>
        <v>13</v>
      </c>
      <c r="B14" t="s">
        <v>58</v>
      </c>
      <c r="C14" t="s">
        <v>168</v>
      </c>
      <c r="D14" t="s">
        <v>14</v>
      </c>
      <c r="E14" s="1">
        <v>44197</v>
      </c>
      <c r="G14">
        <v>20</v>
      </c>
    </row>
    <row r="15" spans="1:7" x14ac:dyDescent="0.35">
      <c r="A15" s="2">
        <f t="shared" si="0"/>
        <v>14</v>
      </c>
      <c r="B15" t="s">
        <v>59</v>
      </c>
      <c r="C15" t="s">
        <v>169</v>
      </c>
      <c r="D15" t="s">
        <v>23</v>
      </c>
      <c r="E15" s="1">
        <v>44197</v>
      </c>
      <c r="G15">
        <v>24</v>
      </c>
    </row>
    <row r="16" spans="1:7" x14ac:dyDescent="0.35">
      <c r="A16" s="2">
        <f t="shared" si="0"/>
        <v>15</v>
      </c>
      <c r="B16" t="s">
        <v>60</v>
      </c>
      <c r="C16" t="s">
        <v>164</v>
      </c>
      <c r="D16" t="s">
        <v>27</v>
      </c>
      <c r="E16" s="1">
        <v>44197</v>
      </c>
      <c r="G16">
        <v>25</v>
      </c>
    </row>
    <row r="17" spans="1:7" x14ac:dyDescent="0.35">
      <c r="A17" s="2">
        <f t="shared" si="0"/>
        <v>16</v>
      </c>
      <c r="B17" t="s">
        <v>61</v>
      </c>
      <c r="C17" t="s">
        <v>165</v>
      </c>
      <c r="D17" s="3" t="s">
        <v>28</v>
      </c>
      <c r="E17" s="1">
        <v>44197</v>
      </c>
      <c r="G17">
        <v>26</v>
      </c>
    </row>
    <row r="18" spans="1:7" x14ac:dyDescent="0.35">
      <c r="A18" s="2">
        <f t="shared" si="0"/>
        <v>17</v>
      </c>
      <c r="B18" t="s">
        <v>62</v>
      </c>
      <c r="C18" t="s">
        <v>166</v>
      </c>
      <c r="D18" t="s">
        <v>29</v>
      </c>
      <c r="E18" s="1">
        <v>44197</v>
      </c>
      <c r="G18">
        <v>27</v>
      </c>
    </row>
    <row r="19" spans="1:7" x14ac:dyDescent="0.35">
      <c r="A19" s="2">
        <f t="shared" si="0"/>
        <v>18</v>
      </c>
      <c r="B19" t="s">
        <v>63</v>
      </c>
      <c r="C19" t="s">
        <v>170</v>
      </c>
      <c r="D19" t="s">
        <v>31</v>
      </c>
      <c r="E19" s="1">
        <v>44197</v>
      </c>
      <c r="G19">
        <v>30</v>
      </c>
    </row>
    <row r="20" spans="1:7" x14ac:dyDescent="0.35">
      <c r="A20" s="2">
        <f t="shared" si="0"/>
        <v>19</v>
      </c>
      <c r="B20" t="s">
        <v>64</v>
      </c>
      <c r="C20" t="s">
        <v>164</v>
      </c>
      <c r="D20" t="s">
        <v>37</v>
      </c>
      <c r="E20" s="1">
        <v>44197</v>
      </c>
      <c r="G20">
        <v>31</v>
      </c>
    </row>
    <row r="21" spans="1:7" x14ac:dyDescent="0.35">
      <c r="A21" s="2">
        <f t="shared" si="0"/>
        <v>20</v>
      </c>
      <c r="B21" t="s">
        <v>65</v>
      </c>
      <c r="C21" t="s">
        <v>165</v>
      </c>
      <c r="D21" t="s">
        <v>38</v>
      </c>
      <c r="E21" s="1">
        <v>44197</v>
      </c>
      <c r="G21">
        <v>32</v>
      </c>
    </row>
    <row r="22" spans="1:7" x14ac:dyDescent="0.35">
      <c r="A22" s="2">
        <f t="shared" si="0"/>
        <v>21</v>
      </c>
      <c r="B22" t="s">
        <v>66</v>
      </c>
      <c r="C22" t="s">
        <v>166</v>
      </c>
      <c r="D22" t="s">
        <v>39</v>
      </c>
      <c r="E22" s="1">
        <v>44197</v>
      </c>
      <c r="G22">
        <v>33</v>
      </c>
    </row>
    <row r="23" spans="1:7" x14ac:dyDescent="0.35">
      <c r="A23" s="2">
        <f t="shared" si="0"/>
        <v>22</v>
      </c>
      <c r="B23" t="s">
        <v>67</v>
      </c>
      <c r="C23" t="s">
        <v>167</v>
      </c>
      <c r="D23" t="s">
        <v>40</v>
      </c>
      <c r="E23" s="1">
        <v>44197</v>
      </c>
      <c r="G23">
        <v>34</v>
      </c>
    </row>
    <row r="24" spans="1:7" x14ac:dyDescent="0.35">
      <c r="A24" s="2">
        <f t="shared" si="0"/>
        <v>23</v>
      </c>
      <c r="B24" t="s">
        <v>68</v>
      </c>
      <c r="C24" t="s">
        <v>168</v>
      </c>
      <c r="D24" t="s">
        <v>29</v>
      </c>
      <c r="E24" s="1">
        <v>44197</v>
      </c>
      <c r="G24">
        <v>35</v>
      </c>
    </row>
    <row r="25" spans="1:7" x14ac:dyDescent="0.35">
      <c r="A25" s="2">
        <f t="shared" si="0"/>
        <v>24</v>
      </c>
      <c r="B25" t="s">
        <v>69</v>
      </c>
      <c r="C25" t="s">
        <v>171</v>
      </c>
      <c r="D25" t="s">
        <v>42</v>
      </c>
      <c r="E25" s="1">
        <v>44197</v>
      </c>
      <c r="G25">
        <v>38</v>
      </c>
    </row>
    <row r="26" spans="1:7" x14ac:dyDescent="0.35">
      <c r="A26" s="2">
        <f t="shared" si="0"/>
        <v>25</v>
      </c>
      <c r="B26" t="s">
        <v>70</v>
      </c>
      <c r="C26" t="s">
        <v>164</v>
      </c>
      <c r="D26" t="s">
        <v>6</v>
      </c>
      <c r="E26" s="1">
        <v>44197</v>
      </c>
      <c r="G26">
        <v>39</v>
      </c>
    </row>
    <row r="27" spans="1:7" x14ac:dyDescent="0.35">
      <c r="A27" s="2">
        <f t="shared" si="0"/>
        <v>26</v>
      </c>
      <c r="B27" t="s">
        <v>71</v>
      </c>
      <c r="C27" t="s">
        <v>165</v>
      </c>
      <c r="D27" t="s">
        <v>8</v>
      </c>
      <c r="E27" s="1">
        <v>44197</v>
      </c>
      <c r="G27">
        <v>40</v>
      </c>
    </row>
    <row r="28" spans="1:7" x14ac:dyDescent="0.35">
      <c r="A28" s="2">
        <f t="shared" si="0"/>
        <v>27</v>
      </c>
      <c r="B28" t="s">
        <v>72</v>
      </c>
      <c r="C28" t="s">
        <v>166</v>
      </c>
      <c r="D28" t="s">
        <v>10</v>
      </c>
      <c r="E28" s="1">
        <v>44197</v>
      </c>
      <c r="G28">
        <v>41</v>
      </c>
    </row>
    <row r="29" spans="1:7" x14ac:dyDescent="0.35">
      <c r="A29" s="2">
        <f t="shared" si="0"/>
        <v>28</v>
      </c>
      <c r="B29" t="s">
        <v>73</v>
      </c>
      <c r="C29" t="s">
        <v>167</v>
      </c>
      <c r="D29" t="s">
        <v>13</v>
      </c>
      <c r="E29" s="1">
        <v>44197</v>
      </c>
      <c r="G29">
        <v>42</v>
      </c>
    </row>
    <row r="30" spans="1:7" x14ac:dyDescent="0.35">
      <c r="A30" s="2">
        <f t="shared" si="0"/>
        <v>29</v>
      </c>
      <c r="B30" t="s">
        <v>74</v>
      </c>
      <c r="C30" t="s">
        <v>168</v>
      </c>
      <c r="D30" t="s">
        <v>14</v>
      </c>
      <c r="E30" s="1">
        <v>44197</v>
      </c>
      <c r="G30">
        <v>43</v>
      </c>
    </row>
    <row r="31" spans="1:7" x14ac:dyDescent="0.35">
      <c r="A31" s="2">
        <f t="shared" si="0"/>
        <v>30</v>
      </c>
      <c r="B31" t="s">
        <v>75</v>
      </c>
      <c r="D31" t="s">
        <v>76</v>
      </c>
      <c r="E31" s="1">
        <v>44197</v>
      </c>
      <c r="G31">
        <v>1</v>
      </c>
    </row>
    <row r="32" spans="1:7" x14ac:dyDescent="0.35">
      <c r="A32" s="2">
        <f t="shared" si="0"/>
        <v>31</v>
      </c>
      <c r="B32" t="s">
        <v>4</v>
      </c>
      <c r="C32" t="s">
        <v>163</v>
      </c>
      <c r="D32" t="s">
        <v>78</v>
      </c>
      <c r="E32" s="1">
        <v>44197</v>
      </c>
      <c r="G32">
        <v>2</v>
      </c>
    </row>
    <row r="33" spans="1:7" x14ac:dyDescent="0.35">
      <c r="A33" s="2">
        <f t="shared" si="0"/>
        <v>32</v>
      </c>
      <c r="B33" t="s">
        <v>5</v>
      </c>
      <c r="C33" t="s">
        <v>164</v>
      </c>
      <c r="D33" t="s">
        <v>84</v>
      </c>
      <c r="E33" s="1">
        <v>44197</v>
      </c>
      <c r="G33">
        <v>3</v>
      </c>
    </row>
    <row r="34" spans="1:7" x14ac:dyDescent="0.35">
      <c r="A34" s="2">
        <f t="shared" si="0"/>
        <v>33</v>
      </c>
      <c r="B34" t="s">
        <v>7</v>
      </c>
      <c r="C34" t="s">
        <v>165</v>
      </c>
      <c r="D34" t="s">
        <v>85</v>
      </c>
      <c r="E34" s="1">
        <v>44197</v>
      </c>
      <c r="G34">
        <v>4</v>
      </c>
    </row>
    <row r="35" spans="1:7" x14ac:dyDescent="0.35">
      <c r="A35" s="2">
        <f t="shared" si="0"/>
        <v>34</v>
      </c>
      <c r="B35" t="s">
        <v>9</v>
      </c>
      <c r="C35" t="s">
        <v>166</v>
      </c>
      <c r="D35" t="s">
        <v>86</v>
      </c>
      <c r="E35" s="1">
        <v>44197</v>
      </c>
      <c r="G35">
        <v>5</v>
      </c>
    </row>
    <row r="36" spans="1:7" x14ac:dyDescent="0.35">
      <c r="A36" s="2">
        <f t="shared" si="0"/>
        <v>35</v>
      </c>
      <c r="B36" t="s">
        <v>11</v>
      </c>
      <c r="C36" t="s">
        <v>167</v>
      </c>
      <c r="D36" t="s">
        <v>87</v>
      </c>
      <c r="E36" s="1">
        <v>44197</v>
      </c>
      <c r="G36">
        <v>6</v>
      </c>
    </row>
    <row r="37" spans="1:7" x14ac:dyDescent="0.35">
      <c r="A37" s="2">
        <f t="shared" si="0"/>
        <v>36</v>
      </c>
      <c r="B37" t="s">
        <v>12</v>
      </c>
      <c r="C37" t="s">
        <v>168</v>
      </c>
      <c r="D37" t="s">
        <v>88</v>
      </c>
      <c r="E37" s="1">
        <v>44197</v>
      </c>
      <c r="G37">
        <v>7</v>
      </c>
    </row>
    <row r="38" spans="1:7" x14ac:dyDescent="0.35">
      <c r="A38" s="2">
        <f t="shared" si="0"/>
        <v>37</v>
      </c>
      <c r="B38" t="s">
        <v>89</v>
      </c>
      <c r="C38" t="s">
        <v>172</v>
      </c>
      <c r="D38" t="s">
        <v>94</v>
      </c>
      <c r="E38" s="1">
        <v>44197</v>
      </c>
      <c r="G38">
        <v>8</v>
      </c>
    </row>
    <row r="39" spans="1:7" x14ac:dyDescent="0.35">
      <c r="A39" s="2">
        <f t="shared" si="0"/>
        <v>38</v>
      </c>
      <c r="B39" t="s">
        <v>90</v>
      </c>
      <c r="C39" t="s">
        <v>173</v>
      </c>
      <c r="D39" t="s">
        <v>95</v>
      </c>
      <c r="E39" s="1">
        <v>44197</v>
      </c>
      <c r="G39">
        <v>9</v>
      </c>
    </row>
    <row r="40" spans="1:7" x14ac:dyDescent="0.35">
      <c r="A40" s="2">
        <f t="shared" si="0"/>
        <v>39</v>
      </c>
      <c r="B40" t="s">
        <v>91</v>
      </c>
      <c r="C40" t="s">
        <v>174</v>
      </c>
      <c r="D40" t="s">
        <v>96</v>
      </c>
      <c r="E40" s="1">
        <v>44197</v>
      </c>
      <c r="G40">
        <v>10</v>
      </c>
    </row>
    <row r="41" spans="1:7" x14ac:dyDescent="0.35">
      <c r="A41" s="2">
        <f t="shared" si="0"/>
        <v>40</v>
      </c>
      <c r="B41" t="s">
        <v>92</v>
      </c>
      <c r="C41" t="s">
        <v>175</v>
      </c>
      <c r="D41" t="s">
        <v>97</v>
      </c>
      <c r="E41" s="1">
        <v>44197</v>
      </c>
      <c r="G41">
        <v>11</v>
      </c>
    </row>
    <row r="42" spans="1:7" x14ac:dyDescent="0.35">
      <c r="A42" s="2">
        <f t="shared" si="0"/>
        <v>41</v>
      </c>
      <c r="B42" t="s">
        <v>93</v>
      </c>
      <c r="C42" t="s">
        <v>176</v>
      </c>
      <c r="D42" t="s">
        <v>98</v>
      </c>
      <c r="E42" s="1">
        <v>44197</v>
      </c>
      <c r="G42">
        <v>12</v>
      </c>
    </row>
    <row r="43" spans="1:7" x14ac:dyDescent="0.35">
      <c r="A43" s="2">
        <f t="shared" si="0"/>
        <v>42</v>
      </c>
      <c r="B43" t="s">
        <v>15</v>
      </c>
      <c r="C43" t="s">
        <v>177</v>
      </c>
      <c r="D43" t="s">
        <v>79</v>
      </c>
      <c r="E43" s="1">
        <v>44197</v>
      </c>
      <c r="G43">
        <v>15</v>
      </c>
    </row>
    <row r="44" spans="1:7" x14ac:dyDescent="0.35">
      <c r="A44" s="2">
        <f t="shared" si="0"/>
        <v>43</v>
      </c>
      <c r="B44" t="s">
        <v>17</v>
      </c>
      <c r="C44" t="s">
        <v>164</v>
      </c>
      <c r="D44" t="s">
        <v>86</v>
      </c>
      <c r="E44" s="1">
        <v>44197</v>
      </c>
      <c r="G44">
        <v>16</v>
      </c>
    </row>
    <row r="45" spans="1:7" x14ac:dyDescent="0.35">
      <c r="A45" s="2">
        <f t="shared" si="0"/>
        <v>44</v>
      </c>
      <c r="B45" t="s">
        <v>18</v>
      </c>
      <c r="C45" t="s">
        <v>165</v>
      </c>
      <c r="D45" t="s">
        <v>94</v>
      </c>
      <c r="E45" s="1">
        <v>44197</v>
      </c>
      <c r="G45">
        <v>17</v>
      </c>
    </row>
    <row r="46" spans="1:7" x14ac:dyDescent="0.35">
      <c r="A46" s="2">
        <f t="shared" si="0"/>
        <v>45</v>
      </c>
      <c r="B46" t="s">
        <v>19</v>
      </c>
      <c r="C46" t="s">
        <v>166</v>
      </c>
      <c r="D46" t="s">
        <v>95</v>
      </c>
      <c r="E46" s="1">
        <v>44197</v>
      </c>
      <c r="G46">
        <v>18</v>
      </c>
    </row>
    <row r="47" spans="1:7" x14ac:dyDescent="0.35">
      <c r="A47" s="2">
        <f t="shared" si="0"/>
        <v>46</v>
      </c>
      <c r="B47" t="s">
        <v>20</v>
      </c>
      <c r="C47" t="s">
        <v>167</v>
      </c>
      <c r="D47" t="s">
        <v>13</v>
      </c>
      <c r="E47" s="1">
        <v>44197</v>
      </c>
      <c r="G47">
        <v>19</v>
      </c>
    </row>
    <row r="48" spans="1:7" x14ac:dyDescent="0.35">
      <c r="A48" s="2">
        <f t="shared" si="0"/>
        <v>47</v>
      </c>
      <c r="B48" t="s">
        <v>21</v>
      </c>
      <c r="C48" t="s">
        <v>168</v>
      </c>
      <c r="D48" t="s">
        <v>96</v>
      </c>
      <c r="E48" s="1">
        <v>44197</v>
      </c>
      <c r="G48">
        <v>20</v>
      </c>
    </row>
    <row r="49" spans="1:7" x14ac:dyDescent="0.35">
      <c r="A49" s="2">
        <f t="shared" si="0"/>
        <v>48</v>
      </c>
      <c r="B49" t="s">
        <v>99</v>
      </c>
      <c r="C49" t="s">
        <v>172</v>
      </c>
      <c r="D49" t="s">
        <v>98</v>
      </c>
      <c r="E49" s="1">
        <v>44197</v>
      </c>
      <c r="G49">
        <v>21</v>
      </c>
    </row>
    <row r="50" spans="1:7" x14ac:dyDescent="0.35">
      <c r="A50" s="2">
        <f t="shared" si="0"/>
        <v>49</v>
      </c>
      <c r="B50" t="s">
        <v>22</v>
      </c>
      <c r="C50" t="s">
        <v>169</v>
      </c>
      <c r="D50" t="s">
        <v>80</v>
      </c>
      <c r="E50" s="1">
        <v>44197</v>
      </c>
      <c r="G50">
        <v>24</v>
      </c>
    </row>
    <row r="51" spans="1:7" x14ac:dyDescent="0.35">
      <c r="A51" s="2">
        <f t="shared" si="0"/>
        <v>50</v>
      </c>
      <c r="B51" t="s">
        <v>24</v>
      </c>
      <c r="C51" t="s">
        <v>164</v>
      </c>
      <c r="D51" t="s">
        <v>100</v>
      </c>
      <c r="E51" s="1">
        <v>44197</v>
      </c>
      <c r="G51">
        <v>25</v>
      </c>
    </row>
    <row r="52" spans="1:7" x14ac:dyDescent="0.35">
      <c r="A52" s="2">
        <f t="shared" si="0"/>
        <v>51</v>
      </c>
      <c r="B52" t="s">
        <v>25</v>
      </c>
      <c r="C52" t="s">
        <v>165</v>
      </c>
      <c r="D52" s="3" t="s">
        <v>101</v>
      </c>
      <c r="E52" s="1">
        <v>44197</v>
      </c>
      <c r="G52">
        <v>26</v>
      </c>
    </row>
    <row r="53" spans="1:7" x14ac:dyDescent="0.35">
      <c r="A53" s="2">
        <f t="shared" si="0"/>
        <v>52</v>
      </c>
      <c r="B53" t="s">
        <v>26</v>
      </c>
      <c r="C53" t="s">
        <v>166</v>
      </c>
      <c r="D53" t="s">
        <v>81</v>
      </c>
      <c r="E53" s="1">
        <v>44197</v>
      </c>
      <c r="G53">
        <v>27</v>
      </c>
    </row>
    <row r="54" spans="1:7" x14ac:dyDescent="0.35">
      <c r="A54" s="2">
        <f t="shared" si="0"/>
        <v>53</v>
      </c>
      <c r="B54" t="s">
        <v>30</v>
      </c>
      <c r="C54" t="s">
        <v>170</v>
      </c>
      <c r="D54" t="s">
        <v>82</v>
      </c>
      <c r="E54" s="1">
        <v>44197</v>
      </c>
      <c r="G54">
        <v>30</v>
      </c>
    </row>
    <row r="55" spans="1:7" x14ac:dyDescent="0.35">
      <c r="A55" s="2">
        <f t="shared" si="0"/>
        <v>54</v>
      </c>
      <c r="B55" t="s">
        <v>32</v>
      </c>
      <c r="C55" t="s">
        <v>164</v>
      </c>
      <c r="D55" t="s">
        <v>102</v>
      </c>
      <c r="E55" s="1">
        <v>44197</v>
      </c>
      <c r="G55">
        <v>31</v>
      </c>
    </row>
    <row r="56" spans="1:7" x14ac:dyDescent="0.35">
      <c r="A56" s="2">
        <f t="shared" si="0"/>
        <v>55</v>
      </c>
      <c r="B56" t="s">
        <v>33</v>
      </c>
      <c r="C56" t="s">
        <v>165</v>
      </c>
      <c r="D56" t="s">
        <v>103</v>
      </c>
      <c r="E56" s="1">
        <v>44197</v>
      </c>
      <c r="G56">
        <v>32</v>
      </c>
    </row>
    <row r="57" spans="1:7" x14ac:dyDescent="0.35">
      <c r="A57" s="2">
        <f t="shared" si="0"/>
        <v>56</v>
      </c>
      <c r="B57" t="s">
        <v>34</v>
      </c>
      <c r="C57" t="s">
        <v>166</v>
      </c>
      <c r="D57" t="s">
        <v>104</v>
      </c>
      <c r="E57" s="1">
        <v>44197</v>
      </c>
      <c r="G57">
        <v>33</v>
      </c>
    </row>
    <row r="58" spans="1:7" x14ac:dyDescent="0.35">
      <c r="A58" s="2">
        <f t="shared" si="0"/>
        <v>57</v>
      </c>
      <c r="B58" t="s">
        <v>35</v>
      </c>
      <c r="C58" t="s">
        <v>167</v>
      </c>
      <c r="D58" t="s">
        <v>105</v>
      </c>
      <c r="E58" s="1">
        <v>44197</v>
      </c>
      <c r="G58">
        <v>34</v>
      </c>
    </row>
    <row r="59" spans="1:7" x14ac:dyDescent="0.35">
      <c r="A59" s="2">
        <f t="shared" si="0"/>
        <v>58</v>
      </c>
      <c r="B59" t="s">
        <v>36</v>
      </c>
      <c r="C59" t="s">
        <v>168</v>
      </c>
      <c r="D59" t="s">
        <v>98</v>
      </c>
      <c r="E59" s="1">
        <v>44197</v>
      </c>
      <c r="G59">
        <v>35</v>
      </c>
    </row>
    <row r="60" spans="1:7" x14ac:dyDescent="0.35">
      <c r="A60" s="2">
        <f t="shared" si="0"/>
        <v>59</v>
      </c>
      <c r="B60" t="s">
        <v>41</v>
      </c>
      <c r="C60" t="s">
        <v>171</v>
      </c>
      <c r="D60" t="s">
        <v>83</v>
      </c>
      <c r="E60" s="1">
        <v>44197</v>
      </c>
      <c r="G60">
        <v>38</v>
      </c>
    </row>
    <row r="61" spans="1:7" x14ac:dyDescent="0.35">
      <c r="A61" s="2">
        <f t="shared" si="0"/>
        <v>60</v>
      </c>
      <c r="B61" t="s">
        <v>43</v>
      </c>
      <c r="C61" t="s">
        <v>164</v>
      </c>
      <c r="D61" t="s">
        <v>106</v>
      </c>
      <c r="E61" s="1">
        <v>44197</v>
      </c>
      <c r="G61">
        <v>39</v>
      </c>
    </row>
    <row r="62" spans="1:7" x14ac:dyDescent="0.35">
      <c r="A62" s="2">
        <f t="shared" si="0"/>
        <v>61</v>
      </c>
      <c r="B62" t="s">
        <v>44</v>
      </c>
      <c r="C62" t="s">
        <v>165</v>
      </c>
      <c r="D62" t="s">
        <v>107</v>
      </c>
      <c r="E62" s="1">
        <v>44197</v>
      </c>
      <c r="G62">
        <v>40</v>
      </c>
    </row>
    <row r="63" spans="1:7" x14ac:dyDescent="0.35">
      <c r="A63" s="2">
        <f t="shared" si="0"/>
        <v>62</v>
      </c>
      <c r="B63" t="s">
        <v>132</v>
      </c>
      <c r="D63" s="1" t="s">
        <v>133</v>
      </c>
      <c r="E63" s="1">
        <v>44197</v>
      </c>
    </row>
    <row r="64" spans="1:7" x14ac:dyDescent="0.35">
      <c r="A64" s="2">
        <f t="shared" si="0"/>
        <v>63</v>
      </c>
      <c r="B64" t="s">
        <v>134</v>
      </c>
      <c r="D64" s="1" t="s">
        <v>135</v>
      </c>
      <c r="E64" s="1">
        <v>44197</v>
      </c>
    </row>
    <row r="65" spans="1:7" x14ac:dyDescent="0.35">
      <c r="A65" s="2">
        <f t="shared" si="0"/>
        <v>64</v>
      </c>
      <c r="B65" t="s">
        <v>116</v>
      </c>
      <c r="D65" t="s">
        <v>191</v>
      </c>
      <c r="E65" s="1">
        <v>44197</v>
      </c>
    </row>
    <row r="66" spans="1:7" x14ac:dyDescent="0.35">
      <c r="A66" s="2">
        <f t="shared" si="0"/>
        <v>65</v>
      </c>
      <c r="B66" t="s">
        <v>118</v>
      </c>
      <c r="D66" t="s">
        <v>192</v>
      </c>
      <c r="E66" s="1">
        <v>44197</v>
      </c>
    </row>
    <row r="67" spans="1:7" x14ac:dyDescent="0.35">
      <c r="A67" s="2">
        <f t="shared" si="0"/>
        <v>66</v>
      </c>
      <c r="B67" t="s">
        <v>120</v>
      </c>
      <c r="D67" t="s">
        <v>122</v>
      </c>
      <c r="E67" s="1">
        <v>44197</v>
      </c>
    </row>
    <row r="68" spans="1:7" x14ac:dyDescent="0.35">
      <c r="A68" s="2">
        <f t="shared" si="0"/>
        <v>67</v>
      </c>
      <c r="B68" t="s">
        <v>121</v>
      </c>
      <c r="D68" t="s">
        <v>123</v>
      </c>
      <c r="E68" s="1">
        <v>44197</v>
      </c>
    </row>
    <row r="69" spans="1:7" x14ac:dyDescent="0.35">
      <c r="A69" s="2">
        <v>94</v>
      </c>
      <c r="B69" t="s">
        <v>193</v>
      </c>
      <c r="D69" t="s">
        <v>194</v>
      </c>
      <c r="E69" s="1">
        <v>45778</v>
      </c>
    </row>
    <row r="70" spans="1:7" x14ac:dyDescent="0.35">
      <c r="A70" s="2">
        <v>95</v>
      </c>
      <c r="B70" t="s">
        <v>195</v>
      </c>
      <c r="D70" t="s">
        <v>196</v>
      </c>
      <c r="E70" s="1">
        <v>45778</v>
      </c>
    </row>
    <row r="71" spans="1:7" x14ac:dyDescent="0.35">
      <c r="A71" s="2">
        <f>A68+1</f>
        <v>68</v>
      </c>
      <c r="B71" t="s">
        <v>137</v>
      </c>
      <c r="D71" t="s">
        <v>136</v>
      </c>
      <c r="E71" s="1">
        <v>44197</v>
      </c>
    </row>
    <row r="72" spans="1:7" x14ac:dyDescent="0.35">
      <c r="A72" s="2">
        <f>A71+1</f>
        <v>69</v>
      </c>
      <c r="B72" t="s">
        <v>138</v>
      </c>
      <c r="C72">
        <v>10</v>
      </c>
      <c r="D72" t="s">
        <v>130</v>
      </c>
      <c r="E72" s="1">
        <v>44197</v>
      </c>
      <c r="G72">
        <v>13</v>
      </c>
    </row>
    <row r="73" spans="1:7" x14ac:dyDescent="0.35">
      <c r="A73" s="2">
        <f t="shared" ref="A73:A86" si="1">A72+1</f>
        <v>70</v>
      </c>
      <c r="B73" t="s">
        <v>139</v>
      </c>
      <c r="C73">
        <v>6</v>
      </c>
      <c r="D73" t="s">
        <v>130</v>
      </c>
      <c r="E73" s="1">
        <v>44197</v>
      </c>
      <c r="G73">
        <v>22</v>
      </c>
    </row>
    <row r="74" spans="1:7" x14ac:dyDescent="0.35">
      <c r="A74" s="2">
        <f t="shared" si="1"/>
        <v>71</v>
      </c>
      <c r="B74" t="s">
        <v>140</v>
      </c>
      <c r="C74">
        <v>3</v>
      </c>
      <c r="D74" t="s">
        <v>130</v>
      </c>
      <c r="E74" s="1">
        <v>44197</v>
      </c>
      <c r="G74">
        <v>28</v>
      </c>
    </row>
    <row r="75" spans="1:7" x14ac:dyDescent="0.35">
      <c r="A75" s="2">
        <f t="shared" si="1"/>
        <v>72</v>
      </c>
      <c r="B75" t="s">
        <v>141</v>
      </c>
      <c r="C75">
        <v>5</v>
      </c>
      <c r="D75" t="s">
        <v>130</v>
      </c>
      <c r="E75" s="1">
        <v>44197</v>
      </c>
      <c r="G75">
        <v>36</v>
      </c>
    </row>
    <row r="76" spans="1:7" x14ac:dyDescent="0.35">
      <c r="A76" s="2">
        <f t="shared" si="1"/>
        <v>73</v>
      </c>
      <c r="B76" t="s">
        <v>142</v>
      </c>
      <c r="C76">
        <v>5</v>
      </c>
      <c r="D76" t="s">
        <v>130</v>
      </c>
      <c r="E76" s="1">
        <v>44197</v>
      </c>
      <c r="G76">
        <v>44</v>
      </c>
    </row>
    <row r="77" spans="1:7" x14ac:dyDescent="0.35">
      <c r="A77" s="2">
        <f t="shared" si="1"/>
        <v>74</v>
      </c>
      <c r="B77" t="s">
        <v>143</v>
      </c>
      <c r="C77">
        <v>10</v>
      </c>
      <c r="D77" t="s">
        <v>130</v>
      </c>
      <c r="E77" s="1">
        <v>44197</v>
      </c>
      <c r="G77">
        <v>13</v>
      </c>
    </row>
    <row r="78" spans="1:7" x14ac:dyDescent="0.35">
      <c r="A78" s="2">
        <f t="shared" si="1"/>
        <v>75</v>
      </c>
      <c r="B78" t="s">
        <v>144</v>
      </c>
      <c r="C78">
        <v>-2</v>
      </c>
      <c r="D78" t="s">
        <v>149</v>
      </c>
      <c r="E78" s="1">
        <v>44197</v>
      </c>
      <c r="G78">
        <v>14</v>
      </c>
    </row>
    <row r="79" spans="1:7" x14ac:dyDescent="0.35">
      <c r="A79" s="2">
        <f t="shared" si="1"/>
        <v>76</v>
      </c>
      <c r="B79" t="s">
        <v>145</v>
      </c>
      <c r="C79">
        <v>6</v>
      </c>
      <c r="D79" t="s">
        <v>130</v>
      </c>
      <c r="E79" s="1">
        <v>44197</v>
      </c>
      <c r="G79">
        <v>22</v>
      </c>
    </row>
    <row r="80" spans="1:7" x14ac:dyDescent="0.35">
      <c r="A80" s="2">
        <f t="shared" si="1"/>
        <v>77</v>
      </c>
      <c r="B80" t="s">
        <v>146</v>
      </c>
      <c r="C80">
        <v>-2</v>
      </c>
      <c r="D80" t="s">
        <v>150</v>
      </c>
      <c r="E80" s="1">
        <v>44197</v>
      </c>
      <c r="G80">
        <v>23</v>
      </c>
    </row>
    <row r="81" spans="1:7" x14ac:dyDescent="0.35">
      <c r="A81" s="2">
        <f t="shared" si="1"/>
        <v>78</v>
      </c>
      <c r="B81" t="s">
        <v>147</v>
      </c>
      <c r="C81">
        <v>3</v>
      </c>
      <c r="D81" t="s">
        <v>130</v>
      </c>
      <c r="E81" s="1">
        <v>44197</v>
      </c>
      <c r="G81">
        <v>28</v>
      </c>
    </row>
    <row r="82" spans="1:7" x14ac:dyDescent="0.35">
      <c r="A82" s="2">
        <f t="shared" si="1"/>
        <v>79</v>
      </c>
      <c r="B82" t="s">
        <v>151</v>
      </c>
      <c r="C82">
        <v>-2</v>
      </c>
      <c r="D82" t="s">
        <v>152</v>
      </c>
      <c r="E82" s="1">
        <v>44197</v>
      </c>
      <c r="G82">
        <v>29</v>
      </c>
    </row>
    <row r="83" spans="1:7" x14ac:dyDescent="0.35">
      <c r="A83" s="2">
        <f t="shared" si="1"/>
        <v>80</v>
      </c>
      <c r="B83" t="s">
        <v>153</v>
      </c>
      <c r="C83">
        <v>5</v>
      </c>
      <c r="D83" t="s">
        <v>130</v>
      </c>
      <c r="E83" s="1">
        <v>44197</v>
      </c>
      <c r="G83">
        <v>36</v>
      </c>
    </row>
    <row r="84" spans="1:7" x14ac:dyDescent="0.35">
      <c r="A84" s="2">
        <f t="shared" si="1"/>
        <v>81</v>
      </c>
      <c r="B84" t="s">
        <v>154</v>
      </c>
      <c r="C84">
        <v>-2</v>
      </c>
      <c r="D84" t="s">
        <v>148</v>
      </c>
      <c r="E84" s="1">
        <v>44197</v>
      </c>
      <c r="G84">
        <v>37</v>
      </c>
    </row>
    <row r="85" spans="1:7" x14ac:dyDescent="0.35">
      <c r="A85" s="2">
        <f t="shared" si="1"/>
        <v>82</v>
      </c>
      <c r="B85" t="s">
        <v>155</v>
      </c>
      <c r="C85">
        <v>5</v>
      </c>
      <c r="D85" t="s">
        <v>130</v>
      </c>
      <c r="E85" s="1">
        <v>44197</v>
      </c>
      <c r="G85">
        <v>44</v>
      </c>
    </row>
    <row r="86" spans="1:7" x14ac:dyDescent="0.35">
      <c r="A86" s="2">
        <f t="shared" si="1"/>
        <v>83</v>
      </c>
      <c r="B86" t="s">
        <v>156</v>
      </c>
      <c r="C86">
        <v>-2</v>
      </c>
      <c r="D86" s="7" t="s">
        <v>190</v>
      </c>
      <c r="E86" s="1">
        <v>44197</v>
      </c>
      <c r="G86">
        <v>45</v>
      </c>
    </row>
    <row r="87" spans="1:7" x14ac:dyDescent="0.35">
      <c r="A87" s="2">
        <v>84</v>
      </c>
      <c r="B87" t="s">
        <v>185</v>
      </c>
      <c r="C87">
        <v>-1</v>
      </c>
      <c r="D87" t="s">
        <v>186</v>
      </c>
      <c r="E87" s="1">
        <v>44197</v>
      </c>
      <c r="G87">
        <v>46</v>
      </c>
    </row>
    <row r="88" spans="1:7" x14ac:dyDescent="0.35">
      <c r="A88" s="2">
        <v>85</v>
      </c>
      <c r="B88" t="s">
        <v>158</v>
      </c>
      <c r="C88">
        <v>-1</v>
      </c>
      <c r="D88" t="s">
        <v>187</v>
      </c>
      <c r="E88" s="1">
        <v>44197</v>
      </c>
      <c r="G88">
        <v>46</v>
      </c>
    </row>
    <row r="89" spans="1:7" x14ac:dyDescent="0.35">
      <c r="A89" s="2">
        <v>86</v>
      </c>
      <c r="B89" t="s">
        <v>161</v>
      </c>
      <c r="C89">
        <v>-2</v>
      </c>
      <c r="D89" t="s">
        <v>157</v>
      </c>
      <c r="E89" s="1">
        <v>44197</v>
      </c>
      <c r="G89">
        <v>47</v>
      </c>
    </row>
    <row r="90" spans="1:7" x14ac:dyDescent="0.35">
      <c r="A90" s="2">
        <f>A89+1</f>
        <v>87</v>
      </c>
      <c r="B90" t="s">
        <v>188</v>
      </c>
      <c r="D90" t="s">
        <v>159</v>
      </c>
      <c r="E90" s="1">
        <v>44197</v>
      </c>
      <c r="G90">
        <v>48</v>
      </c>
    </row>
    <row r="91" spans="1:7" x14ac:dyDescent="0.35">
      <c r="A91" s="2">
        <f>A90+1</f>
        <v>88</v>
      </c>
      <c r="B91" t="s">
        <v>189</v>
      </c>
      <c r="C91">
        <v>-3</v>
      </c>
      <c r="D91" t="s">
        <v>160</v>
      </c>
      <c r="E91" s="1">
        <v>44197</v>
      </c>
      <c r="G91">
        <v>49</v>
      </c>
    </row>
    <row r="92" spans="1:7" x14ac:dyDescent="0.35">
      <c r="A92" s="2">
        <v>89</v>
      </c>
      <c r="B92" t="s">
        <v>197</v>
      </c>
      <c r="D92" t="s">
        <v>198</v>
      </c>
      <c r="E92" s="1">
        <v>44927</v>
      </c>
    </row>
    <row r="93" spans="1:7" x14ac:dyDescent="0.35">
      <c r="A93" s="2">
        <v>90</v>
      </c>
      <c r="B93" t="s">
        <v>199</v>
      </c>
      <c r="D93" t="s">
        <v>198</v>
      </c>
      <c r="E93" s="1">
        <v>44927</v>
      </c>
    </row>
    <row r="94" spans="1:7" x14ac:dyDescent="0.35">
      <c r="A94" s="2">
        <v>91</v>
      </c>
      <c r="B94" t="s">
        <v>200</v>
      </c>
      <c r="C94" s="8">
        <v>-4</v>
      </c>
      <c r="D94" t="s">
        <v>111</v>
      </c>
      <c r="E94" s="1">
        <v>45778</v>
      </c>
      <c r="G94">
        <v>50</v>
      </c>
    </row>
    <row r="95" spans="1:7" x14ac:dyDescent="0.35">
      <c r="A95" s="2">
        <v>92</v>
      </c>
      <c r="B95" t="s">
        <v>201</v>
      </c>
      <c r="C95">
        <v>-5</v>
      </c>
      <c r="D95" t="s">
        <v>112</v>
      </c>
      <c r="E95" s="1">
        <v>45778</v>
      </c>
      <c r="G95">
        <v>51</v>
      </c>
    </row>
    <row r="96" spans="1:7" x14ac:dyDescent="0.35">
      <c r="A96" s="2">
        <v>93</v>
      </c>
      <c r="B96" t="s">
        <v>202</v>
      </c>
      <c r="C96">
        <v>-6</v>
      </c>
      <c r="D96" t="s">
        <v>203</v>
      </c>
      <c r="E96" s="1">
        <v>45778</v>
      </c>
      <c r="G96">
        <v>52</v>
      </c>
    </row>
    <row r="97" spans="5:5" x14ac:dyDescent="0.35">
      <c r="E97" s="1"/>
    </row>
    <row r="98" spans="5:5" x14ac:dyDescent="0.35">
      <c r="E98" s="1"/>
    </row>
    <row r="99" spans="5:5" x14ac:dyDescent="0.35">
      <c r="E99" s="1"/>
    </row>
    <row r="100" spans="5:5" x14ac:dyDescent="0.35">
      <c r="E100" s="1"/>
    </row>
    <row r="101" spans="5:5" x14ac:dyDescent="0.35">
      <c r="E101" s="1"/>
    </row>
    <row r="102" spans="5:5" x14ac:dyDescent="0.35">
      <c r="E102" s="1"/>
    </row>
    <row r="103" spans="5:5" x14ac:dyDescent="0.35">
      <c r="E103" s="1"/>
    </row>
    <row r="104" spans="5:5" x14ac:dyDescent="0.35">
      <c r="E104" s="1"/>
    </row>
    <row r="105" spans="5:5" x14ac:dyDescent="0.35">
      <c r="E105" s="1"/>
    </row>
    <row r="106" spans="5:5" x14ac:dyDescent="0.35">
      <c r="E106" s="1"/>
    </row>
    <row r="107" spans="5:5" x14ac:dyDescent="0.35">
      <c r="E107" s="1"/>
    </row>
    <row r="108" spans="5:5" x14ac:dyDescent="0.35">
      <c r="E108" s="1"/>
    </row>
    <row r="109" spans="5:5" x14ac:dyDescent="0.35">
      <c r="E109" s="1"/>
    </row>
    <row r="110" spans="5:5" x14ac:dyDescent="0.35">
      <c r="E110" s="1"/>
    </row>
    <row r="111" spans="5:5" x14ac:dyDescent="0.35">
      <c r="E111" s="1"/>
    </row>
    <row r="112" spans="5:5" x14ac:dyDescent="0.35">
      <c r="E112" s="1"/>
    </row>
    <row r="113" spans="5:5" x14ac:dyDescent="0.35">
      <c r="E113" s="1"/>
    </row>
    <row r="114" spans="5:5" x14ac:dyDescent="0.35">
      <c r="E114" s="1"/>
    </row>
    <row r="115" spans="5:5" x14ac:dyDescent="0.35">
      <c r="E115" s="1"/>
    </row>
    <row r="116" spans="5:5" x14ac:dyDescent="0.35">
      <c r="E116" s="1"/>
    </row>
    <row r="117" spans="5:5" x14ac:dyDescent="0.35">
      <c r="E117" s="1"/>
    </row>
    <row r="118" spans="5:5" x14ac:dyDescent="0.35">
      <c r="E118" s="1"/>
    </row>
    <row r="119" spans="5:5" x14ac:dyDescent="0.35">
      <c r="E119" s="1"/>
    </row>
    <row r="120" spans="5:5" x14ac:dyDescent="0.35">
      <c r="E120" s="1"/>
    </row>
    <row r="121" spans="5:5" x14ac:dyDescent="0.35">
      <c r="E121" s="1"/>
    </row>
    <row r="122" spans="5:5" x14ac:dyDescent="0.35">
      <c r="E122" s="1"/>
    </row>
    <row r="123" spans="5:5" x14ac:dyDescent="0.35">
      <c r="E123" s="1"/>
    </row>
    <row r="124" spans="5:5" x14ac:dyDescent="0.35">
      <c r="E124" s="1"/>
    </row>
    <row r="125" spans="5:5" x14ac:dyDescent="0.35">
      <c r="E125" s="1"/>
    </row>
    <row r="126" spans="5:5" x14ac:dyDescent="0.35">
      <c r="E126" s="1"/>
    </row>
    <row r="127" spans="5:5" x14ac:dyDescent="0.35">
      <c r="E127" s="1"/>
    </row>
    <row r="128" spans="5:5" x14ac:dyDescent="0.35">
      <c r="E128" s="1"/>
    </row>
    <row r="129" spans="5:5" x14ac:dyDescent="0.35">
      <c r="E129" s="1"/>
    </row>
    <row r="130" spans="5:5" x14ac:dyDescent="0.35">
      <c r="E130" s="1"/>
    </row>
    <row r="131" spans="5:5" x14ac:dyDescent="0.35">
      <c r="E131" s="1"/>
    </row>
    <row r="132" spans="5:5" x14ac:dyDescent="0.35">
      <c r="E132" s="1"/>
    </row>
    <row r="133" spans="5:5" x14ac:dyDescent="0.35">
      <c r="E133" s="1"/>
    </row>
    <row r="134" spans="5:5" x14ac:dyDescent="0.35">
      <c r="E134" s="1"/>
    </row>
    <row r="135" spans="5:5" x14ac:dyDescent="0.35">
      <c r="E135" s="1"/>
    </row>
    <row r="136" spans="5:5" x14ac:dyDescent="0.35">
      <c r="E136" s="1"/>
    </row>
    <row r="137" spans="5:5" x14ac:dyDescent="0.35">
      <c r="E137" s="1"/>
    </row>
    <row r="138" spans="5:5" x14ac:dyDescent="0.35">
      <c r="E138" s="1"/>
    </row>
    <row r="139" spans="5:5" x14ac:dyDescent="0.35">
      <c r="E139" s="1"/>
    </row>
    <row r="140" spans="5:5" x14ac:dyDescent="0.35">
      <c r="E140" s="1"/>
    </row>
    <row r="141" spans="5:5" x14ac:dyDescent="0.35">
      <c r="E141" s="1"/>
    </row>
    <row r="142" spans="5:5" x14ac:dyDescent="0.35">
      <c r="E142" s="1"/>
    </row>
    <row r="143" spans="5:5" x14ac:dyDescent="0.35">
      <c r="E143" s="1"/>
    </row>
    <row r="144" spans="5:5" x14ac:dyDescent="0.35">
      <c r="E144" s="1"/>
    </row>
    <row r="145" spans="5:5" x14ac:dyDescent="0.35">
      <c r="E145" s="1"/>
    </row>
    <row r="146" spans="5:5" x14ac:dyDescent="0.35">
      <c r="E146" s="1"/>
    </row>
    <row r="147" spans="5:5" x14ac:dyDescent="0.35">
      <c r="E147" s="1"/>
    </row>
    <row r="148" spans="5:5" x14ac:dyDescent="0.35">
      <c r="E148" s="1"/>
    </row>
    <row r="149" spans="5:5" x14ac:dyDescent="0.35">
      <c r="E149" s="1"/>
    </row>
    <row r="150" spans="5:5" x14ac:dyDescent="0.35">
      <c r="E150" s="1"/>
    </row>
    <row r="151" spans="5:5" x14ac:dyDescent="0.35">
      <c r="E151" s="1"/>
    </row>
    <row r="152" spans="5:5" x14ac:dyDescent="0.35">
      <c r="E152" s="1"/>
    </row>
    <row r="153" spans="5:5" x14ac:dyDescent="0.35">
      <c r="E153" s="1"/>
    </row>
    <row r="154" spans="5:5" x14ac:dyDescent="0.35">
      <c r="E154" s="1"/>
    </row>
    <row r="155" spans="5:5" x14ac:dyDescent="0.35">
      <c r="E155" s="1"/>
    </row>
    <row r="156" spans="5:5" x14ac:dyDescent="0.35">
      <c r="E156" s="1"/>
    </row>
    <row r="157" spans="5:5" x14ac:dyDescent="0.35">
      <c r="E157" s="1"/>
    </row>
    <row r="158" spans="5:5" x14ac:dyDescent="0.35">
      <c r="E158" s="1"/>
    </row>
    <row r="159" spans="5:5" x14ac:dyDescent="0.35">
      <c r="E159" s="1"/>
    </row>
    <row r="160" spans="5:5" x14ac:dyDescent="0.35">
      <c r="E160" s="1"/>
    </row>
    <row r="161" spans="5:5" x14ac:dyDescent="0.35">
      <c r="E161" s="1"/>
    </row>
    <row r="162" spans="5:5" x14ac:dyDescent="0.35">
      <c r="E162" s="1"/>
    </row>
    <row r="163" spans="5:5" x14ac:dyDescent="0.35">
      <c r="E163" s="1"/>
    </row>
    <row r="164" spans="5:5" x14ac:dyDescent="0.35">
      <c r="E164" s="1"/>
    </row>
    <row r="165" spans="5:5" x14ac:dyDescent="0.35">
      <c r="E165" s="1"/>
    </row>
    <row r="166" spans="5:5" x14ac:dyDescent="0.35">
      <c r="E166" s="1"/>
    </row>
    <row r="167" spans="5:5" x14ac:dyDescent="0.35">
      <c r="E167" s="1"/>
    </row>
    <row r="168" spans="5:5" x14ac:dyDescent="0.35">
      <c r="E168" s="1"/>
    </row>
    <row r="169" spans="5:5" x14ac:dyDescent="0.35">
      <c r="E169" s="1"/>
    </row>
    <row r="170" spans="5:5" x14ac:dyDescent="0.35">
      <c r="E170" s="1"/>
    </row>
    <row r="171" spans="5:5" x14ac:dyDescent="0.35">
      <c r="E171" s="1"/>
    </row>
    <row r="172" spans="5:5" x14ac:dyDescent="0.35">
      <c r="E172" s="1"/>
    </row>
    <row r="173" spans="5:5" x14ac:dyDescent="0.35">
      <c r="E173" s="1"/>
    </row>
    <row r="174" spans="5:5" x14ac:dyDescent="0.35">
      <c r="E174" s="1"/>
    </row>
    <row r="175" spans="5:5" x14ac:dyDescent="0.35">
      <c r="E175" s="1"/>
    </row>
    <row r="176" spans="5:5" x14ac:dyDescent="0.35">
      <c r="E176" s="1"/>
    </row>
    <row r="177" spans="5:5" x14ac:dyDescent="0.35">
      <c r="E177" s="1"/>
    </row>
    <row r="178" spans="5:5" x14ac:dyDescent="0.35">
      <c r="E178" s="1"/>
    </row>
    <row r="179" spans="5:5" x14ac:dyDescent="0.35">
      <c r="E179" s="1"/>
    </row>
    <row r="180" spans="5:5" x14ac:dyDescent="0.35">
      <c r="E180" s="1"/>
    </row>
    <row r="181" spans="5:5" x14ac:dyDescent="0.35">
      <c r="E181" s="1"/>
    </row>
    <row r="182" spans="5:5" x14ac:dyDescent="0.35">
      <c r="E182" s="1"/>
    </row>
    <row r="183" spans="5:5" x14ac:dyDescent="0.35">
      <c r="E183" s="1"/>
    </row>
    <row r="184" spans="5:5" x14ac:dyDescent="0.35">
      <c r="E184" s="1"/>
    </row>
    <row r="185" spans="5:5" x14ac:dyDescent="0.35">
      <c r="E185" s="1"/>
    </row>
    <row r="186" spans="5:5" x14ac:dyDescent="0.35">
      <c r="E186" s="1"/>
    </row>
    <row r="187" spans="5:5" x14ac:dyDescent="0.35">
      <c r="E187" s="1"/>
    </row>
    <row r="188" spans="5:5" x14ac:dyDescent="0.35">
      <c r="E188" s="1"/>
    </row>
    <row r="189" spans="5:5" x14ac:dyDescent="0.35">
      <c r="E189" s="1"/>
    </row>
    <row r="190" spans="5:5" x14ac:dyDescent="0.35">
      <c r="E190" s="1"/>
    </row>
    <row r="191" spans="5:5" x14ac:dyDescent="0.35">
      <c r="E191" s="1"/>
    </row>
    <row r="192" spans="5:5" x14ac:dyDescent="0.35">
      <c r="E192" s="1"/>
    </row>
    <row r="193" spans="5:5" x14ac:dyDescent="0.35">
      <c r="E193" s="1"/>
    </row>
    <row r="194" spans="5:5" x14ac:dyDescent="0.35">
      <c r="E194" s="1"/>
    </row>
    <row r="195" spans="5:5" x14ac:dyDescent="0.35">
      <c r="E195" s="1"/>
    </row>
    <row r="196" spans="5:5" x14ac:dyDescent="0.35">
      <c r="E196" s="1"/>
    </row>
    <row r="197" spans="5:5" x14ac:dyDescent="0.35">
      <c r="E197" s="1"/>
    </row>
    <row r="198" spans="5:5" x14ac:dyDescent="0.35">
      <c r="E198" s="1"/>
    </row>
    <row r="199" spans="5:5" x14ac:dyDescent="0.35">
      <c r="E199" s="1"/>
    </row>
    <row r="200" spans="5:5" x14ac:dyDescent="0.35">
      <c r="E200" s="1"/>
    </row>
    <row r="201" spans="5:5" x14ac:dyDescent="0.35">
      <c r="E201" s="1"/>
    </row>
    <row r="202" spans="5:5" x14ac:dyDescent="0.35">
      <c r="E202" s="1"/>
    </row>
    <row r="203" spans="5:5" x14ac:dyDescent="0.35">
      <c r="E203" s="1"/>
    </row>
    <row r="204" spans="5:5" x14ac:dyDescent="0.35">
      <c r="E204" s="1"/>
    </row>
    <row r="205" spans="5:5" x14ac:dyDescent="0.35">
      <c r="E205" s="1"/>
    </row>
    <row r="1000" spans="1:6" x14ac:dyDescent="0.35">
      <c r="A1000">
        <v>96</v>
      </c>
      <c r="E1000"/>
      <c r="F1000"/>
    </row>
    <row r="1001" spans="1:6" x14ac:dyDescent="0.35">
      <c r="A1001"/>
      <c r="E1001"/>
      <c r="F1001"/>
    </row>
    <row r="1002" spans="1:6" x14ac:dyDescent="0.35">
      <c r="A1002"/>
      <c r="E1002"/>
      <c r="F1002"/>
    </row>
    <row r="1003" spans="1:6" x14ac:dyDescent="0.35">
      <c r="A1003"/>
      <c r="E1003"/>
      <c r="F1003"/>
    </row>
    <row r="1004" spans="1:6" x14ac:dyDescent="0.35">
      <c r="A1004"/>
      <c r="E1004"/>
      <c r="F1004"/>
    </row>
    <row r="1005" spans="1:6" x14ac:dyDescent="0.35">
      <c r="A1005"/>
      <c r="E1005"/>
      <c r="F1005"/>
    </row>
    <row r="1006" spans="1:6" x14ac:dyDescent="0.35">
      <c r="A1006"/>
      <c r="E1006"/>
      <c r="F1006"/>
    </row>
    <row r="1007" spans="1:6" x14ac:dyDescent="0.35">
      <c r="A1007"/>
      <c r="E1007"/>
      <c r="F1007"/>
    </row>
    <row r="1008" spans="1:6" x14ac:dyDescent="0.35">
      <c r="A1008"/>
      <c r="E1008"/>
      <c r="F1008"/>
    </row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</sheetData>
  <dataConsolidate link="1"/>
  <dataValidations count="4">
    <dataValidation type="custom" errorStyle="warning" allowBlank="1" showInputMessage="1" showErrorMessage="1" error="non univoco_x000a_" sqref="A1501" xr:uid="{8A59542E-FB8E-4D97-8C34-CC62B4F21F5F}">
      <formula1>COUNTIF(A$3:A$999,#REF!)&lt;2</formula1>
    </dataValidation>
    <dataValidation type="custom" errorStyle="warning" allowBlank="1" showInputMessage="1" showErrorMessage="1" error="non univoco_x000a_" sqref="A1502:A1048576 A92:A999" xr:uid="{A9B2678B-390D-4039-851C-CC97E1C07555}">
      <formula1>COUNTIF(A$3:A$999,A91)&lt;2</formula1>
    </dataValidation>
    <dataValidation type="custom" allowBlank="1" showInputMessage="1" showErrorMessage="1" sqref="C1 B1:B82 C92:C999 B1501:C1048576 B86:B999" xr:uid="{8A2F29C0-4705-4BF1-8BB0-681FD53DA3AC}">
      <formula1>COUNTIF(B$3:B$999,B1)&lt;2</formula1>
    </dataValidation>
    <dataValidation type="custom" errorStyle="warning" allowBlank="1" showInputMessage="1" showErrorMessage="1" error="non univoco_x000a_" sqref="A1:A91" xr:uid="{25755667-1D18-47A0-87C5-DDB5EC5D4A93}">
      <formula1>COUNTIF(A$3:A$999,#REF!)&lt;2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9080-4086-4AB8-AD58-AC97F0DB03C7}">
  <sheetPr codeName="Foglio10"/>
  <dimension ref="A1:F52"/>
  <sheetViews>
    <sheetView tabSelected="1" topLeftCell="A39" workbookViewId="0">
      <selection activeCell="A1000" sqref="A1000:G1095"/>
    </sheetView>
  </sheetViews>
  <sheetFormatPr defaultRowHeight="14.5" x14ac:dyDescent="0.35"/>
  <cols>
    <col min="1" max="1" width="44.26953125" bestFit="1" customWidth="1"/>
    <col min="2" max="2" width="7.81640625" bestFit="1" customWidth="1"/>
    <col min="3" max="3" width="4.81640625" bestFit="1" customWidth="1"/>
    <col min="4" max="4" width="83.54296875" bestFit="1" customWidth="1"/>
    <col min="5" max="6" width="4.81640625" bestFit="1" customWidth="1"/>
  </cols>
  <sheetData>
    <row r="1" spans="1:6" x14ac:dyDescent="0.35">
      <c r="A1" s="12" t="s">
        <v>214</v>
      </c>
      <c r="B1" s="13">
        <v>2024</v>
      </c>
      <c r="C1" s="13">
        <v>2023</v>
      </c>
      <c r="D1" s="12" t="s">
        <v>233</v>
      </c>
      <c r="E1" s="13">
        <v>2024</v>
      </c>
      <c r="F1" s="13">
        <v>2023</v>
      </c>
    </row>
    <row r="2" spans="1:6" x14ac:dyDescent="0.35">
      <c r="A2" s="14" t="s">
        <v>215</v>
      </c>
      <c r="B2" s="15"/>
      <c r="C2" s="15"/>
      <c r="D2" s="14" t="s">
        <v>234</v>
      </c>
      <c r="E2" s="15"/>
      <c r="F2" s="15"/>
    </row>
    <row r="3" spans="1:6" x14ac:dyDescent="0.35">
      <c r="A3" s="13"/>
      <c r="B3" s="13"/>
      <c r="C3" s="13"/>
      <c r="D3" s="13" t="s">
        <v>235</v>
      </c>
      <c r="E3" s="13">
        <v>700</v>
      </c>
      <c r="F3" s="13"/>
    </row>
    <row r="4" spans="1:6" x14ac:dyDescent="0.35">
      <c r="A4" s="15" t="s">
        <v>216</v>
      </c>
      <c r="B4" s="15">
        <v>600</v>
      </c>
      <c r="C4" s="15"/>
      <c r="D4" s="15" t="s">
        <v>236</v>
      </c>
      <c r="E4" s="15">
        <v>0</v>
      </c>
      <c r="F4" s="15"/>
    </row>
    <row r="5" spans="1:6" x14ac:dyDescent="0.35">
      <c r="A5" s="13" t="s">
        <v>217</v>
      </c>
      <c r="B5" s="13">
        <v>1000</v>
      </c>
      <c r="C5" s="13"/>
      <c r="D5" s="13" t="s">
        <v>237</v>
      </c>
      <c r="E5" s="13">
        <v>100</v>
      </c>
      <c r="F5" s="13"/>
    </row>
    <row r="6" spans="1:6" x14ac:dyDescent="0.35">
      <c r="A6" s="15"/>
      <c r="B6" s="15"/>
      <c r="C6" s="15"/>
      <c r="D6" s="15" t="s">
        <v>238</v>
      </c>
      <c r="E6" s="15">
        <v>0</v>
      </c>
      <c r="F6" s="15"/>
    </row>
    <row r="7" spans="1:6" x14ac:dyDescent="0.35">
      <c r="A7" s="13" t="s">
        <v>218</v>
      </c>
      <c r="B7" s="13">
        <v>0</v>
      </c>
      <c r="C7" s="13"/>
      <c r="D7" s="13" t="s">
        <v>239</v>
      </c>
      <c r="E7" s="13">
        <v>200</v>
      </c>
      <c r="F7" s="13"/>
    </row>
    <row r="8" spans="1:6" x14ac:dyDescent="0.35">
      <c r="A8" s="15" t="s">
        <v>219</v>
      </c>
      <c r="B8" s="15">
        <v>0</v>
      </c>
      <c r="C8" s="15"/>
      <c r="D8" s="15" t="s">
        <v>240</v>
      </c>
      <c r="E8" s="15">
        <v>0</v>
      </c>
      <c r="F8" s="15"/>
    </row>
    <row r="9" spans="1:6" x14ac:dyDescent="0.35">
      <c r="A9" s="13"/>
      <c r="B9" s="13"/>
      <c r="C9" s="13"/>
      <c r="D9" s="13" t="s">
        <v>241</v>
      </c>
      <c r="E9" s="13">
        <v>0</v>
      </c>
      <c r="F9" s="13"/>
    </row>
    <row r="10" spans="1:6" x14ac:dyDescent="0.35">
      <c r="A10" s="15" t="s">
        <v>220</v>
      </c>
      <c r="B10" s="15">
        <v>0</v>
      </c>
      <c r="C10" s="15"/>
      <c r="D10" s="15" t="s">
        <v>242</v>
      </c>
      <c r="E10" s="15">
        <v>550</v>
      </c>
      <c r="F10" s="15"/>
    </row>
    <row r="11" spans="1:6" x14ac:dyDescent="0.35">
      <c r="A11" s="13"/>
      <c r="B11" s="13"/>
      <c r="C11" s="13"/>
      <c r="D11" s="13" t="s">
        <v>243</v>
      </c>
      <c r="E11" s="13">
        <v>0</v>
      </c>
      <c r="F11" s="13"/>
    </row>
    <row r="12" spans="1:6" x14ac:dyDescent="0.35">
      <c r="A12" s="15"/>
      <c r="B12" s="15"/>
      <c r="C12" s="15"/>
      <c r="D12" s="15" t="s">
        <v>244</v>
      </c>
      <c r="E12" s="15">
        <v>100</v>
      </c>
      <c r="F12" s="15"/>
    </row>
    <row r="13" spans="1:6" x14ac:dyDescent="0.35">
      <c r="A13" s="16" t="s">
        <v>130</v>
      </c>
      <c r="B13" s="13">
        <f>SUM(B3:B12)</f>
        <v>1600</v>
      </c>
      <c r="C13" s="13"/>
      <c r="D13" s="16" t="s">
        <v>130</v>
      </c>
      <c r="E13" s="13">
        <f>SUM(E3:E12)</f>
        <v>1650</v>
      </c>
      <c r="F13" s="13"/>
    </row>
    <row r="14" spans="1:6" x14ac:dyDescent="0.35">
      <c r="A14" s="15"/>
      <c r="B14" s="15"/>
      <c r="C14" s="15"/>
      <c r="D14" s="17" t="s">
        <v>149</v>
      </c>
      <c r="E14" s="15">
        <f>E13-B13</f>
        <v>50</v>
      </c>
      <c r="F14" s="15"/>
    </row>
    <row r="15" spans="1:6" x14ac:dyDescent="0.35">
      <c r="A15" s="12" t="s">
        <v>221</v>
      </c>
      <c r="B15" s="13"/>
      <c r="C15" s="13"/>
      <c r="D15" s="12" t="s">
        <v>245</v>
      </c>
      <c r="E15" s="13"/>
      <c r="F15" s="13"/>
    </row>
    <row r="16" spans="1:6" x14ac:dyDescent="0.35">
      <c r="A16" s="15" t="s">
        <v>216</v>
      </c>
      <c r="B16" s="15">
        <v>0</v>
      </c>
      <c r="C16" s="15"/>
      <c r="D16" s="15" t="s">
        <v>246</v>
      </c>
      <c r="E16" s="15">
        <v>0</v>
      </c>
      <c r="F16" s="15"/>
    </row>
    <row r="17" spans="1:6" x14ac:dyDescent="0.35">
      <c r="A17" s="13" t="s">
        <v>217</v>
      </c>
      <c r="B17" s="13">
        <v>0</v>
      </c>
      <c r="C17" s="13"/>
      <c r="D17" s="13" t="s">
        <v>247</v>
      </c>
      <c r="E17" s="13">
        <v>300</v>
      </c>
      <c r="F17" s="13"/>
    </row>
    <row r="18" spans="1:6" x14ac:dyDescent="0.35">
      <c r="A18" s="15" t="s">
        <v>218</v>
      </c>
      <c r="B18" s="15">
        <v>0</v>
      </c>
      <c r="C18" s="15"/>
      <c r="D18" s="15" t="s">
        <v>248</v>
      </c>
      <c r="E18" s="15">
        <v>0</v>
      </c>
      <c r="F18" s="15"/>
    </row>
    <row r="19" spans="1:6" x14ac:dyDescent="0.35">
      <c r="A19" s="13" t="s">
        <v>219</v>
      </c>
      <c r="B19" s="13">
        <v>0</v>
      </c>
      <c r="C19" s="13"/>
      <c r="D19" s="13" t="s">
        <v>219</v>
      </c>
      <c r="E19" s="13">
        <v>0</v>
      </c>
      <c r="F19" s="13"/>
    </row>
    <row r="20" spans="1:6" x14ac:dyDescent="0.35">
      <c r="A20" s="15" t="s">
        <v>220</v>
      </c>
      <c r="B20" s="15">
        <v>0</v>
      </c>
      <c r="C20" s="15"/>
      <c r="D20" s="15" t="s">
        <v>249</v>
      </c>
      <c r="E20" s="15">
        <v>0</v>
      </c>
      <c r="F20" s="15"/>
    </row>
    <row r="21" spans="1:6" x14ac:dyDescent="0.35">
      <c r="A21" s="13"/>
      <c r="B21" s="13"/>
      <c r="C21" s="13"/>
      <c r="D21" s="13" t="s">
        <v>250</v>
      </c>
      <c r="E21" s="13">
        <v>500</v>
      </c>
      <c r="F21" s="13"/>
    </row>
    <row r="22" spans="1:6" x14ac:dyDescent="0.35">
      <c r="A22" s="17" t="s">
        <v>130</v>
      </c>
      <c r="B22" s="15">
        <f>SUM(B16:B21)</f>
        <v>0</v>
      </c>
      <c r="C22" s="15"/>
      <c r="D22" s="17" t="s">
        <v>130</v>
      </c>
      <c r="E22" s="15">
        <f>SUM(E16:E21)</f>
        <v>800</v>
      </c>
      <c r="F22" s="15"/>
    </row>
    <row r="23" spans="1:6" x14ac:dyDescent="0.35">
      <c r="A23" s="13"/>
      <c r="B23" s="13"/>
      <c r="C23" s="13"/>
      <c r="D23" s="16" t="s">
        <v>150</v>
      </c>
      <c r="E23" s="13">
        <f>E22-B22</f>
        <v>800</v>
      </c>
      <c r="F23" s="13"/>
    </row>
    <row r="24" spans="1:6" x14ac:dyDescent="0.35">
      <c r="A24" s="14" t="s">
        <v>222</v>
      </c>
      <c r="B24" s="15"/>
      <c r="C24" s="15"/>
      <c r="D24" s="14" t="s">
        <v>251</v>
      </c>
      <c r="E24" s="15"/>
      <c r="F24" s="15"/>
    </row>
    <row r="25" spans="1:6" x14ac:dyDescent="0.35">
      <c r="A25" s="13" t="s">
        <v>223</v>
      </c>
      <c r="B25" s="13">
        <v>0</v>
      </c>
      <c r="C25" s="13"/>
      <c r="D25" s="13" t="s">
        <v>252</v>
      </c>
      <c r="E25" s="13">
        <v>0</v>
      </c>
      <c r="F25" s="13"/>
    </row>
    <row r="26" spans="1:6" x14ac:dyDescent="0.35">
      <c r="A26" s="15" t="s">
        <v>224</v>
      </c>
      <c r="B26" s="15">
        <v>0</v>
      </c>
      <c r="C26" s="15"/>
      <c r="D26" s="15" t="s">
        <v>253</v>
      </c>
      <c r="E26" s="15">
        <v>0</v>
      </c>
      <c r="F26" s="15"/>
    </row>
    <row r="27" spans="1:6" x14ac:dyDescent="0.35">
      <c r="A27" s="13" t="s">
        <v>225</v>
      </c>
      <c r="B27" s="13">
        <v>0</v>
      </c>
      <c r="C27" s="13"/>
      <c r="D27" s="13" t="s">
        <v>254</v>
      </c>
      <c r="E27" s="13">
        <v>0</v>
      </c>
      <c r="F27" s="13"/>
    </row>
    <row r="28" spans="1:6" x14ac:dyDescent="0.35">
      <c r="A28" s="17" t="s">
        <v>130</v>
      </c>
      <c r="B28" s="15">
        <f>SUM(B25:B27)</f>
        <v>0</v>
      </c>
      <c r="C28" s="15"/>
      <c r="D28" s="17" t="s">
        <v>130</v>
      </c>
      <c r="E28" s="15">
        <f>SUM(E25:E27)</f>
        <v>0</v>
      </c>
      <c r="F28" s="15"/>
    </row>
    <row r="29" spans="1:6" x14ac:dyDescent="0.35">
      <c r="A29" s="13"/>
      <c r="B29" s="13"/>
      <c r="C29" s="13"/>
      <c r="D29" s="16" t="s">
        <v>152</v>
      </c>
      <c r="E29" s="13">
        <f>E28-B28</f>
        <v>0</v>
      </c>
      <c r="F29" s="13"/>
    </row>
    <row r="30" spans="1:6" x14ac:dyDescent="0.35">
      <c r="A30" s="14" t="s">
        <v>226</v>
      </c>
      <c r="B30" s="15"/>
      <c r="C30" s="15"/>
      <c r="D30" s="14" t="s">
        <v>255</v>
      </c>
      <c r="E30" s="15"/>
      <c r="F30" s="15"/>
    </row>
    <row r="31" spans="1:6" x14ac:dyDescent="0.35">
      <c r="A31" s="13" t="s">
        <v>227</v>
      </c>
      <c r="B31" s="13">
        <v>0</v>
      </c>
      <c r="C31" s="13"/>
      <c r="D31" s="13" t="s">
        <v>256</v>
      </c>
      <c r="E31" s="13">
        <v>0</v>
      </c>
      <c r="F31" s="13"/>
    </row>
    <row r="32" spans="1:6" x14ac:dyDescent="0.35">
      <c r="A32" s="15" t="s">
        <v>228</v>
      </c>
      <c r="B32" s="15">
        <v>0</v>
      </c>
      <c r="C32" s="15"/>
      <c r="D32" s="15" t="s">
        <v>257</v>
      </c>
      <c r="E32" s="15">
        <v>0</v>
      </c>
      <c r="F32" s="15"/>
    </row>
    <row r="33" spans="1:6" x14ac:dyDescent="0.35">
      <c r="A33" s="13" t="s">
        <v>229</v>
      </c>
      <c r="B33" s="13">
        <v>0</v>
      </c>
      <c r="C33" s="13"/>
      <c r="D33" s="13" t="s">
        <v>258</v>
      </c>
      <c r="E33" s="13">
        <v>0</v>
      </c>
      <c r="F33" s="13"/>
    </row>
    <row r="34" spans="1:6" x14ac:dyDescent="0.35">
      <c r="A34" s="15" t="s">
        <v>230</v>
      </c>
      <c r="B34" s="15">
        <v>0</v>
      </c>
      <c r="C34" s="15"/>
      <c r="D34" s="15" t="s">
        <v>259</v>
      </c>
      <c r="E34" s="15">
        <v>0</v>
      </c>
      <c r="F34" s="15"/>
    </row>
    <row r="35" spans="1:6" x14ac:dyDescent="0.35">
      <c r="A35" s="13" t="s">
        <v>231</v>
      </c>
      <c r="B35" s="13">
        <v>0</v>
      </c>
      <c r="C35" s="13"/>
      <c r="D35" s="13" t="s">
        <v>260</v>
      </c>
      <c r="E35" s="13">
        <v>0</v>
      </c>
      <c r="F35" s="13"/>
    </row>
    <row r="36" spans="1:6" x14ac:dyDescent="0.35">
      <c r="A36" s="17" t="s">
        <v>130</v>
      </c>
      <c r="B36" s="15">
        <f>SUM(B31:B35)</f>
        <v>0</v>
      </c>
      <c r="C36" s="15"/>
      <c r="D36" s="17" t="s">
        <v>130</v>
      </c>
      <c r="E36" s="15">
        <f>SUM(E31:E35)</f>
        <v>0</v>
      </c>
      <c r="F36" s="15"/>
    </row>
    <row r="37" spans="1:6" x14ac:dyDescent="0.35">
      <c r="A37" s="13"/>
      <c r="B37" s="13"/>
      <c r="C37" s="13"/>
      <c r="D37" s="16" t="s">
        <v>148</v>
      </c>
      <c r="E37" s="13">
        <f>E36-B36</f>
        <v>0</v>
      </c>
      <c r="F37" s="13"/>
    </row>
    <row r="38" spans="1:6" x14ac:dyDescent="0.35">
      <c r="A38" s="14" t="s">
        <v>232</v>
      </c>
      <c r="B38" s="15"/>
      <c r="C38" s="15"/>
      <c r="D38" s="14" t="s">
        <v>261</v>
      </c>
      <c r="E38" s="15"/>
      <c r="F38" s="15"/>
    </row>
    <row r="39" spans="1:6" x14ac:dyDescent="0.35">
      <c r="A39" s="13" t="s">
        <v>216</v>
      </c>
      <c r="B39" s="13">
        <v>600</v>
      </c>
      <c r="C39" s="13"/>
      <c r="D39" s="13" t="s">
        <v>262</v>
      </c>
      <c r="E39" s="13">
        <v>200</v>
      </c>
      <c r="F39" s="13"/>
    </row>
    <row r="40" spans="1:6" x14ac:dyDescent="0.35">
      <c r="A40" s="15" t="s">
        <v>217</v>
      </c>
      <c r="B40" s="15">
        <v>0</v>
      </c>
      <c r="C40" s="15"/>
      <c r="D40" s="15" t="s">
        <v>263</v>
      </c>
      <c r="E40" s="15">
        <v>0</v>
      </c>
      <c r="F40" s="15"/>
    </row>
    <row r="41" spans="1:6" x14ac:dyDescent="0.35">
      <c r="A41" s="13" t="s">
        <v>218</v>
      </c>
      <c r="B41" s="13">
        <v>0</v>
      </c>
      <c r="C41" s="13"/>
      <c r="D41" s="13"/>
      <c r="E41" s="13"/>
      <c r="F41" s="13"/>
    </row>
    <row r="42" spans="1:6" x14ac:dyDescent="0.35">
      <c r="A42" s="15" t="s">
        <v>219</v>
      </c>
      <c r="B42" s="15">
        <v>0</v>
      </c>
      <c r="C42" s="15"/>
      <c r="D42" s="15"/>
      <c r="E42" s="15"/>
      <c r="F42" s="15"/>
    </row>
    <row r="43" spans="1:6" x14ac:dyDescent="0.35">
      <c r="A43" s="13" t="s">
        <v>220</v>
      </c>
      <c r="B43" s="13">
        <v>0</v>
      </c>
      <c r="C43" s="13"/>
      <c r="D43" s="13"/>
      <c r="E43" s="13"/>
      <c r="F43" s="13"/>
    </row>
    <row r="44" spans="1:6" x14ac:dyDescent="0.35">
      <c r="A44" s="17" t="s">
        <v>130</v>
      </c>
      <c r="B44" s="15">
        <f>SUM(B39:B43)</f>
        <v>600</v>
      </c>
      <c r="C44" s="15"/>
      <c r="D44" s="17" t="s">
        <v>130</v>
      </c>
      <c r="E44" s="15">
        <f>SUM(E39:E43)</f>
        <v>200</v>
      </c>
      <c r="F44" s="15"/>
    </row>
    <row r="45" spans="1:6" x14ac:dyDescent="0.35">
      <c r="A45" s="13"/>
      <c r="B45" s="13"/>
      <c r="C45" s="13"/>
      <c r="D45" s="16" t="s">
        <v>190</v>
      </c>
      <c r="E45" s="13">
        <f>E44-B44</f>
        <v>-400</v>
      </c>
      <c r="F45" s="13"/>
    </row>
    <row r="46" spans="1:6" x14ac:dyDescent="0.35">
      <c r="A46" s="17" t="s">
        <v>186</v>
      </c>
      <c r="B46" s="15">
        <v>2200</v>
      </c>
      <c r="C46" s="15"/>
      <c r="D46" s="17" t="s">
        <v>187</v>
      </c>
      <c r="E46" s="15">
        <v>2650</v>
      </c>
      <c r="F46" s="15"/>
    </row>
    <row r="47" spans="1:6" x14ac:dyDescent="0.35">
      <c r="A47" s="13"/>
      <c r="B47" s="13"/>
      <c r="C47" s="13"/>
      <c r="D47" s="16" t="s">
        <v>157</v>
      </c>
      <c r="E47" s="13">
        <f>E46-B46</f>
        <v>450</v>
      </c>
      <c r="F47" s="13"/>
    </row>
    <row r="48" spans="1:6" x14ac:dyDescent="0.35">
      <c r="A48" s="15"/>
      <c r="B48" s="15"/>
      <c r="C48" s="15"/>
      <c r="D48" s="17" t="s">
        <v>159</v>
      </c>
      <c r="E48" s="15">
        <f ca="1">SUM(E47:E48)</f>
        <v>0</v>
      </c>
      <c r="F48" s="15"/>
    </row>
    <row r="49" spans="1:6" x14ac:dyDescent="0.35">
      <c r="A49" s="13"/>
      <c r="B49" s="13"/>
      <c r="C49" s="13"/>
      <c r="D49" s="16" t="s">
        <v>160</v>
      </c>
      <c r="E49" s="13">
        <f ca="1">E48-B48</f>
        <v>0</v>
      </c>
      <c r="F49" s="13"/>
    </row>
    <row r="50" spans="1:6" x14ac:dyDescent="0.35">
      <c r="A50" s="17" t="s">
        <v>111</v>
      </c>
      <c r="B50" s="15">
        <v>134</v>
      </c>
      <c r="C50" s="15"/>
      <c r="D50" s="15"/>
      <c r="E50" s="15"/>
      <c r="F50" s="15"/>
    </row>
    <row r="51" spans="1:6" x14ac:dyDescent="0.35">
      <c r="A51" s="16" t="s">
        <v>112</v>
      </c>
      <c r="B51" s="13">
        <v>1117.8899999999999</v>
      </c>
      <c r="C51" s="13"/>
      <c r="D51" s="13"/>
      <c r="E51" s="13"/>
      <c r="F51" s="13"/>
    </row>
    <row r="52" spans="1:6" x14ac:dyDescent="0.35">
      <c r="A52" s="17" t="s">
        <v>203</v>
      </c>
      <c r="B52" s="15">
        <f>B51+B50</f>
        <v>1251.8899999999999</v>
      </c>
      <c r="C52" s="15"/>
      <c r="D52" s="15"/>
      <c r="E52" s="15"/>
      <c r="F52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I1514"/>
  <sheetViews>
    <sheetView zoomScale="84" workbookViewId="0">
      <selection activeCell="J11" sqref="J11"/>
    </sheetView>
  </sheetViews>
  <sheetFormatPr defaultRowHeight="14.5" x14ac:dyDescent="0.35"/>
  <cols>
    <col min="1" max="1" width="11.08984375" style="5" bestFit="1" customWidth="1"/>
    <col min="2" max="2" width="17.7265625" bestFit="1" customWidth="1"/>
    <col min="3" max="3" width="13.6328125" bestFit="1" customWidth="1"/>
    <col min="4" max="4" width="48.90625" bestFit="1" customWidth="1"/>
    <col min="5" max="5" width="10.54296875" bestFit="1" customWidth="1"/>
    <col min="6" max="6" width="12.36328125" bestFit="1" customWidth="1"/>
    <col min="7" max="7" width="8.26953125" bestFit="1" customWidth="1"/>
    <col min="8" max="8" width="23.1796875" bestFit="1" customWidth="1"/>
    <col min="9" max="9" width="12" bestFit="1" customWidth="1"/>
  </cols>
  <sheetData>
    <row r="1" spans="1:9" x14ac:dyDescent="0.35">
      <c r="A1" s="5" t="s">
        <v>108</v>
      </c>
      <c r="B1" t="s">
        <v>1</v>
      </c>
      <c r="C1" t="s">
        <v>178</v>
      </c>
      <c r="D1" t="s">
        <v>179</v>
      </c>
      <c r="E1" t="s">
        <v>109</v>
      </c>
      <c r="F1" t="s">
        <v>110</v>
      </c>
      <c r="G1" t="s">
        <v>124</v>
      </c>
      <c r="H1" t="s">
        <v>115</v>
      </c>
      <c r="I1" t="s">
        <v>184</v>
      </c>
    </row>
    <row r="2" spans="1:9" x14ac:dyDescent="0.35">
      <c r="A2" s="5">
        <v>45292</v>
      </c>
      <c r="B2" s="10" t="s">
        <v>117</v>
      </c>
      <c r="C2" t="s">
        <v>116</v>
      </c>
      <c r="D2" t="s">
        <v>117</v>
      </c>
      <c r="E2">
        <v>234</v>
      </c>
      <c r="F2" t="s">
        <v>111</v>
      </c>
      <c r="G2">
        <f>SUMIF(INDEX(Tabella2[Tipo],1):Tabella2[[#This Row],[Tipo]],Tabella2[[#This Row],[Tipo]],INDEX(Tabella2[Importo],1):Tabella2[[#This Row],[Importo]])</f>
        <v>234</v>
      </c>
      <c r="I2" t="str">
        <f>IF(AND(H2&lt;&gt;"",H3&lt;&gt;H2),SUM(E$2:E2)-SUM(I$1:I1),"")</f>
        <v/>
      </c>
    </row>
    <row r="3" spans="1:9" s="10" customFormat="1" x14ac:dyDescent="0.35">
      <c r="A3" s="9">
        <v>45292</v>
      </c>
      <c r="B3" s="10" t="s">
        <v>117</v>
      </c>
      <c r="C3" s="10" t="s">
        <v>193</v>
      </c>
      <c r="D3" s="10" t="s">
        <v>194</v>
      </c>
      <c r="E3" s="10">
        <v>567.89</v>
      </c>
      <c r="F3" s="10" t="s">
        <v>112</v>
      </c>
      <c r="G3">
        <f>SUMIF(INDEX(Tabella2[Tipo],1):Tabella2[[#This Row],[Tipo]],Tabella2[[#This Row],[Tipo]],INDEX(Tabella2[Importo],1):Tabella2[[#This Row],[Importo]])</f>
        <v>567.89</v>
      </c>
      <c r="I3" t="str">
        <f>IF(AND(H3&lt;&gt;"",H4&lt;&gt;H3),SUM(E$2:E3)-SUM(I$1:I2),"")</f>
        <v/>
      </c>
    </row>
    <row r="4" spans="1:9" s="10" customFormat="1" x14ac:dyDescent="0.35">
      <c r="A4" s="9">
        <v>45323</v>
      </c>
      <c r="B4" s="11" t="s">
        <v>204</v>
      </c>
      <c r="C4" s="10" t="s">
        <v>91</v>
      </c>
      <c r="D4" s="10" t="s">
        <v>96</v>
      </c>
      <c r="E4" s="10">
        <v>550</v>
      </c>
      <c r="F4" s="10" t="s">
        <v>112</v>
      </c>
      <c r="G4">
        <f>SUMIF(INDEX(Tabella2[Tipo],1):Tabella2[[#This Row],[Tipo]],Tabella2[[#This Row],[Tipo]],INDEX(Tabella2[Importo],1):Tabella2[[#This Row],[Importo]])</f>
        <v>1117.8899999999999</v>
      </c>
      <c r="I4" t="str">
        <f>IF(AND(H4&lt;&gt;"",H5&lt;&gt;H4),SUM(E$2:E4)-SUM(I$1:I3),"")</f>
        <v/>
      </c>
    </row>
    <row r="5" spans="1:9" x14ac:dyDescent="0.35">
      <c r="A5" s="9">
        <v>45352</v>
      </c>
      <c r="B5" t="s">
        <v>205</v>
      </c>
      <c r="C5" t="s">
        <v>5</v>
      </c>
      <c r="D5" t="s">
        <v>84</v>
      </c>
      <c r="E5">
        <v>200</v>
      </c>
      <c r="F5" t="s">
        <v>111</v>
      </c>
      <c r="G5">
        <f>SUMIF(INDEX(Tabella2[Tipo],1):Tabella2[[#This Row],[Tipo]],Tabella2[[#This Row],[Tipo]],INDEX(Tabella2[Importo],1):Tabella2[[#This Row],[Importo]])</f>
        <v>434</v>
      </c>
      <c r="H5" t="s">
        <v>182</v>
      </c>
      <c r="I5" t="str">
        <f>IF(AND(H5&lt;&gt;"",H6&lt;&gt;H5),SUM(E$2:E5)-SUM(I$1:I4),"")</f>
        <v/>
      </c>
    </row>
    <row r="6" spans="1:9" x14ac:dyDescent="0.35">
      <c r="A6" s="5">
        <v>45413</v>
      </c>
      <c r="B6" t="s">
        <v>206</v>
      </c>
      <c r="C6" t="s">
        <v>18</v>
      </c>
      <c r="D6" t="s">
        <v>94</v>
      </c>
      <c r="E6">
        <v>300</v>
      </c>
      <c r="F6" t="s">
        <v>111</v>
      </c>
      <c r="G6">
        <f>SUMIF(INDEX(Tabella2[Tipo],1):Tabella2[[#This Row],[Tipo]],Tabella2[[#This Row],[Tipo]],INDEX(Tabella2[Importo],1):Tabella2[[#This Row],[Importo]])</f>
        <v>734</v>
      </c>
      <c r="H6" t="s">
        <v>182</v>
      </c>
      <c r="I6">
        <f>IF(AND(H6&lt;&gt;"",H7&lt;&gt;H6),SUM(E$2:E6)-SUM(I$1:I5),"")</f>
        <v>1851.8899999999999</v>
      </c>
    </row>
    <row r="7" spans="1:9" x14ac:dyDescent="0.35">
      <c r="A7" s="5">
        <v>45455</v>
      </c>
      <c r="B7" t="s">
        <v>207</v>
      </c>
      <c r="C7" t="s">
        <v>99</v>
      </c>
      <c r="D7" t="s">
        <v>98</v>
      </c>
      <c r="E7">
        <v>500</v>
      </c>
      <c r="F7" t="s">
        <v>111</v>
      </c>
      <c r="G7">
        <f>SUMIF(INDEX(Tabella2[Tipo],1):Tabella2[[#This Row],[Tipo]],Tabella2[[#This Row],[Tipo]],INDEX(Tabella2[Importo],1):Tabella2[[#This Row],[Importo]])</f>
        <v>1234</v>
      </c>
      <c r="I7" t="str">
        <f>IF(AND(H7&lt;&gt;"",H8&lt;&gt;H7),SUM(E$2:E7)-SUM(I$1:I6),"")</f>
        <v/>
      </c>
    </row>
    <row r="8" spans="1:9" x14ac:dyDescent="0.35">
      <c r="A8" s="5">
        <v>45474</v>
      </c>
      <c r="B8" t="s">
        <v>205</v>
      </c>
      <c r="C8" t="s">
        <v>5</v>
      </c>
      <c r="D8" t="s">
        <v>84</v>
      </c>
      <c r="E8">
        <v>500</v>
      </c>
      <c r="F8" t="s">
        <v>111</v>
      </c>
      <c r="G8">
        <f>SUMIF(INDEX(Tabella2[Tipo],1):Tabella2[[#This Row],[Tipo]],Tabella2[[#This Row],[Tipo]],INDEX(Tabella2[Importo],1):Tabella2[[#This Row],[Importo]])</f>
        <v>1734</v>
      </c>
      <c r="I8" t="str">
        <f>IF(AND(H8&lt;&gt;"",H9&lt;&gt;H8),SUM(E$2:E8)-SUM(I$1:I7),"")</f>
        <v/>
      </c>
    </row>
    <row r="9" spans="1:9" x14ac:dyDescent="0.35">
      <c r="A9" s="5">
        <v>45505</v>
      </c>
      <c r="B9" t="s">
        <v>208</v>
      </c>
      <c r="C9" t="s">
        <v>49</v>
      </c>
      <c r="D9" t="s">
        <v>8</v>
      </c>
      <c r="E9">
        <v>-1000</v>
      </c>
      <c r="F9" t="s">
        <v>111</v>
      </c>
      <c r="G9">
        <f>SUMIF(INDEX(Tabella2[Tipo],1):Tabella2[[#This Row],[Tipo]],Tabella2[[#This Row],[Tipo]],INDEX(Tabella2[Importo],1):Tabella2[[#This Row],[Importo]])</f>
        <v>734</v>
      </c>
      <c r="I9" t="str">
        <f>IF(AND(H9&lt;&gt;"",H10&lt;&gt;H9),SUM(E$2:E9)-SUM(I$1:I8),"")</f>
        <v/>
      </c>
    </row>
    <row r="10" spans="1:9" x14ac:dyDescent="0.35">
      <c r="A10" s="5">
        <v>45536</v>
      </c>
      <c r="B10" t="s">
        <v>209</v>
      </c>
      <c r="C10" t="s">
        <v>9</v>
      </c>
      <c r="D10" t="s">
        <v>86</v>
      </c>
      <c r="E10">
        <v>100</v>
      </c>
      <c r="F10" t="s">
        <v>111</v>
      </c>
      <c r="G10">
        <f>SUMIF(INDEX(Tabella2[Tipo],1):Tabella2[[#This Row],[Tipo]],Tabella2[[#This Row],[Tipo]],INDEX(Tabella2[Importo],1):Tabella2[[#This Row],[Importo]])</f>
        <v>834</v>
      </c>
      <c r="I10" t="str">
        <f>IF(AND(H10&lt;&gt;"",H11&lt;&gt;H10),SUM(E$2:E10)-SUM(I$1:I9),"")</f>
        <v/>
      </c>
    </row>
    <row r="11" spans="1:9" x14ac:dyDescent="0.35">
      <c r="A11" s="5">
        <v>45566</v>
      </c>
      <c r="B11" t="s">
        <v>210</v>
      </c>
      <c r="C11" t="s">
        <v>12</v>
      </c>
      <c r="D11" t="s">
        <v>88</v>
      </c>
      <c r="E11">
        <v>200</v>
      </c>
      <c r="F11" t="s">
        <v>111</v>
      </c>
      <c r="G11">
        <f>SUMIF(INDEX(Tabella2[Tipo],1):Tabella2[[#This Row],[Tipo]],Tabella2[[#This Row],[Tipo]],INDEX(Tabella2[Importo],1):Tabella2[[#This Row],[Importo]])</f>
        <v>1034</v>
      </c>
      <c r="I11" t="str">
        <f>IF(AND(H11&lt;&gt;"",H12&lt;&gt;H11),SUM(E$2:E11)-SUM(I$1:I10),"")</f>
        <v/>
      </c>
    </row>
    <row r="12" spans="1:9" x14ac:dyDescent="0.35">
      <c r="A12" s="5">
        <v>45597</v>
      </c>
      <c r="B12" t="s">
        <v>211</v>
      </c>
      <c r="C12" t="s">
        <v>48</v>
      </c>
      <c r="D12" t="s">
        <v>6</v>
      </c>
      <c r="E12">
        <v>-600</v>
      </c>
      <c r="F12" t="s">
        <v>111</v>
      </c>
      <c r="G12">
        <f>SUMIF(INDEX(Tabella2[Tipo],1):Tabella2[[#This Row],[Tipo]],Tabella2[[#This Row],[Tipo]],INDEX(Tabella2[Importo],1):Tabella2[[#This Row],[Importo]])</f>
        <v>434</v>
      </c>
      <c r="I12" t="str">
        <f>IF(AND(H12&lt;&gt;"",H13&lt;&gt;H12),SUM(E$2:E12)-SUM(I$1:I11),"")</f>
        <v/>
      </c>
    </row>
    <row r="13" spans="1:9" x14ac:dyDescent="0.35">
      <c r="A13" s="5">
        <v>45627</v>
      </c>
      <c r="B13" t="s">
        <v>212</v>
      </c>
      <c r="C13" t="s">
        <v>93</v>
      </c>
      <c r="D13" t="s">
        <v>98</v>
      </c>
      <c r="E13">
        <v>100</v>
      </c>
      <c r="F13" t="s">
        <v>111</v>
      </c>
      <c r="G13">
        <f>SUMIF(INDEX(Tabella2[Tipo],1):Tabella2[[#This Row],[Tipo]],Tabella2[[#This Row],[Tipo]],INDEX(Tabella2[Importo],1):Tabella2[[#This Row],[Importo]])</f>
        <v>534</v>
      </c>
      <c r="I13" t="str">
        <f>IF(AND(H13&lt;&gt;"",H14&lt;&gt;H13),SUM(E$2:E13)-SUM(I$1:I12),"")</f>
        <v/>
      </c>
    </row>
    <row r="14" spans="1:9" x14ac:dyDescent="0.35">
      <c r="A14" s="5">
        <v>45627</v>
      </c>
      <c r="B14" t="s">
        <v>213</v>
      </c>
      <c r="C14" t="s">
        <v>43</v>
      </c>
      <c r="D14" t="s">
        <v>106</v>
      </c>
      <c r="E14">
        <v>200</v>
      </c>
      <c r="F14" t="s">
        <v>111</v>
      </c>
      <c r="G14">
        <f>SUMIF(INDEX(Tabella2[Tipo],1):Tabella2[[#This Row],[Tipo]],Tabella2[[#This Row],[Tipo]],INDEX(Tabella2[Importo],1):Tabella2[[#This Row],[Importo]])</f>
        <v>734</v>
      </c>
      <c r="I14" t="str">
        <f>IF(AND(H14&lt;&gt;"",H15&lt;&gt;H14),SUM(E$2:E14)-SUM(I$1:I13),"")</f>
        <v/>
      </c>
    </row>
    <row r="15" spans="1:9" x14ac:dyDescent="0.35">
      <c r="A15" s="5">
        <v>45629</v>
      </c>
      <c r="B15" t="s">
        <v>211</v>
      </c>
      <c r="C15" t="s">
        <v>70</v>
      </c>
      <c r="D15" t="s">
        <v>6</v>
      </c>
      <c r="E15">
        <v>-600</v>
      </c>
      <c r="F15" t="s">
        <v>111</v>
      </c>
      <c r="G15">
        <f>SUMIF(INDEX(Tabella2[Tipo],1):Tabella2[[#This Row],[Tipo]],Tabella2[[#This Row],[Tipo]],INDEX(Tabella2[Importo],1):Tabella2[[#This Row],[Importo]])</f>
        <v>134</v>
      </c>
      <c r="I15" t="str">
        <f>IF(AND(H15&lt;&gt;"",H16&lt;&gt;H15),SUM(E$2:E29)-SUM(I$1:I14),"")</f>
        <v/>
      </c>
    </row>
    <row r="16" spans="1:9" x14ac:dyDescent="0.35">
      <c r="A16" s="9">
        <v>45657</v>
      </c>
      <c r="B16" s="10" t="s">
        <v>119</v>
      </c>
      <c r="C16" s="10" t="s">
        <v>118</v>
      </c>
      <c r="D16" s="10" t="s">
        <v>192</v>
      </c>
      <c r="E16" s="10"/>
      <c r="F16" s="10" t="s">
        <v>111</v>
      </c>
      <c r="G16">
        <f>SUMIF(INDEX(Tabella2[Tipo],1):Tabella2[[#This Row],[Tipo]],Tabella2[[#This Row],[Tipo]],INDEX(Tabella2[Importo],1):Tabella2[[#This Row],[Importo]])</f>
        <v>134</v>
      </c>
      <c r="I16" t="str">
        <f>IF(AND(H16&lt;&gt;"",H17&lt;&gt;H16),SUM(E$2:E16)-SUM(I$1:I29),"")</f>
        <v/>
      </c>
    </row>
    <row r="17" spans="1:9" x14ac:dyDescent="0.35">
      <c r="A17" s="9">
        <v>45657</v>
      </c>
      <c r="B17" s="10" t="s">
        <v>119</v>
      </c>
      <c r="C17" s="10" t="s">
        <v>195</v>
      </c>
      <c r="D17" s="10" t="s">
        <v>196</v>
      </c>
      <c r="E17" s="10"/>
      <c r="F17" s="10" t="s">
        <v>112</v>
      </c>
      <c r="G17">
        <f>SUMIF(INDEX(Tabella2[Tipo],1):Tabella2[[#This Row],[Tipo]],Tabella2[[#This Row],[Tipo]],INDEX(Tabella2[Importo],1):Tabella2[[#This Row],[Importo]])</f>
        <v>1117.8899999999999</v>
      </c>
      <c r="I17" t="str">
        <f>IF(AND(H17&lt;&gt;"",H18&lt;&gt;H17),SUM(E$2:E17)-SUM(I$1:I16),"")</f>
        <v/>
      </c>
    </row>
    <row r="18" spans="1:9" x14ac:dyDescent="0.35">
      <c r="G18">
        <f>SUMIF(INDEX(Tabella2[Tipo],1):Tabella2[[#This Row],[Tipo]],Tabella2[[#This Row],[Tipo]],INDEX(Tabella2[Importo],1):Tabella2[[#This Row],[Importo]])</f>
        <v>0</v>
      </c>
      <c r="I18" t="str">
        <f>IF(AND(H18&lt;&gt;"",H19&lt;&gt;H18),SUM(E$2:E18)-SUM(I$1:I17),"")</f>
        <v/>
      </c>
    </row>
    <row r="19" spans="1:9" x14ac:dyDescent="0.35">
      <c r="G19">
        <f>SUMIF(INDEX(Tabella2[Tipo],1):Tabella2[[#This Row],[Tipo]],Tabella2[[#This Row],[Tipo]],INDEX(Tabella2[Importo],1):Tabella2[[#This Row],[Importo]])</f>
        <v>0</v>
      </c>
      <c r="I19" t="str">
        <f>IF(AND(H19&lt;&gt;"",H20&lt;&gt;H19),SUM(E$2:E19)-SUM(I$1:I18),"")</f>
        <v/>
      </c>
    </row>
    <row r="20" spans="1:9" x14ac:dyDescent="0.35">
      <c r="G20">
        <f>SUMIF(INDEX(Tabella2[Tipo],1):Tabella2[[#This Row],[Tipo]],Tabella2[[#This Row],[Tipo]],INDEX(Tabella2[Importo],1):Tabella2[[#This Row],[Importo]])</f>
        <v>0</v>
      </c>
      <c r="I20" t="str">
        <f>IF(AND(H20&lt;&gt;"",H21&lt;&gt;H20),SUM(E$2:E20)-SUM(I$1:I19),"")</f>
        <v/>
      </c>
    </row>
    <row r="21" spans="1:9" x14ac:dyDescent="0.35">
      <c r="G21">
        <f>SUMIF(INDEX(Tabella2[Tipo],1):Tabella2[[#This Row],[Tipo]],Tabella2[[#This Row],[Tipo]],INDEX(Tabella2[Importo],1):Tabella2[[#This Row],[Importo]])</f>
        <v>0</v>
      </c>
      <c r="I21" t="str">
        <f>IF(AND(H21&lt;&gt;"",H22&lt;&gt;H21),SUM(E$2:E21)-SUM(I$1:I20),"")</f>
        <v/>
      </c>
    </row>
    <row r="22" spans="1:9" x14ac:dyDescent="0.35">
      <c r="G22">
        <f>SUMIF(INDEX(Tabella2[Tipo],1):Tabella2[[#This Row],[Tipo]],Tabella2[[#This Row],[Tipo]],INDEX(Tabella2[Importo],1):Tabella2[[#This Row],[Importo]])</f>
        <v>0</v>
      </c>
      <c r="I22" t="str">
        <f>IF(AND(H22&lt;&gt;"",H23&lt;&gt;H22),SUM(E$2:E22)-SUM(I$1:I21),"")</f>
        <v/>
      </c>
    </row>
    <row r="23" spans="1:9" x14ac:dyDescent="0.35">
      <c r="G23">
        <f>SUMIF(INDEX(Tabella2[Tipo],1):Tabella2[[#This Row],[Tipo]],Tabella2[[#This Row],[Tipo]],INDEX(Tabella2[Importo],1):Tabella2[[#This Row],[Importo]])</f>
        <v>0</v>
      </c>
      <c r="I23" t="str">
        <f>IF(AND(H23&lt;&gt;"",H24&lt;&gt;H23),SUM(E$2:E23)-SUM(I$1:I22),"")</f>
        <v/>
      </c>
    </row>
    <row r="24" spans="1:9" x14ac:dyDescent="0.35">
      <c r="G24">
        <f>SUMIF(INDEX(Tabella2[Tipo],1):Tabella2[[#This Row],[Tipo]],Tabella2[[#This Row],[Tipo]],INDEX(Tabella2[Importo],1):Tabella2[[#This Row],[Importo]])</f>
        <v>0</v>
      </c>
      <c r="I24" t="str">
        <f>IF(AND(H24&lt;&gt;"",H25&lt;&gt;H24),SUM(E$2:E24)-SUM(I$1:I23),"")</f>
        <v/>
      </c>
    </row>
    <row r="25" spans="1:9" x14ac:dyDescent="0.35">
      <c r="G25">
        <f>SUMIF(INDEX(Tabella2[Tipo],1):Tabella2[[#This Row],[Tipo]],Tabella2[[#This Row],[Tipo]],INDEX(Tabella2[Importo],1):Tabella2[[#This Row],[Importo]])</f>
        <v>0</v>
      </c>
      <c r="I25" t="str">
        <f>IF(AND(H25&lt;&gt;"",H26&lt;&gt;H25),SUM(E$2:E25)-SUM(I$1:I24),"")</f>
        <v/>
      </c>
    </row>
    <row r="26" spans="1:9" x14ac:dyDescent="0.35">
      <c r="G26">
        <f>SUMIF(INDEX(Tabella2[Tipo],1):Tabella2[[#This Row],[Tipo]],Tabella2[[#This Row],[Tipo]],INDEX(Tabella2[Importo],1):Tabella2[[#This Row],[Importo]])</f>
        <v>0</v>
      </c>
      <c r="I26" t="str">
        <f>IF(AND(H26&lt;&gt;"",H27&lt;&gt;H26),SUM(E$2:E26)-SUM(I$1:I25),"")</f>
        <v/>
      </c>
    </row>
    <row r="27" spans="1:9" x14ac:dyDescent="0.35">
      <c r="G27">
        <f>SUMIF(INDEX(Tabella2[Tipo],1):Tabella2[[#This Row],[Tipo]],Tabella2[[#This Row],[Tipo]],INDEX(Tabella2[Importo],1):Tabella2[[#This Row],[Importo]])</f>
        <v>0</v>
      </c>
      <c r="I27" t="str">
        <f>IF(AND(H27&lt;&gt;"",H28&lt;&gt;H27),SUM(E$2:E27)-SUM(I$1:I26),"")</f>
        <v/>
      </c>
    </row>
    <row r="28" spans="1:9" x14ac:dyDescent="0.35">
      <c r="G28">
        <f>SUMIF(INDEX(Tabella2[Tipo],1):Tabella2[[#This Row],[Tipo]],Tabella2[[#This Row],[Tipo]],INDEX(Tabella2[Importo],1):Tabella2[[#This Row],[Importo]])</f>
        <v>0</v>
      </c>
      <c r="I28" t="str">
        <f>IF(AND(H28&lt;&gt;"",H29&lt;&gt;H28),SUM(E$2:E28)-SUM(I$1:I27),"")</f>
        <v/>
      </c>
    </row>
    <row r="29" spans="1:9" x14ac:dyDescent="0.35">
      <c r="G29">
        <f>SUMIF(INDEX(Tabella2[Tipo],1):Tabella2[[#This Row],[Tipo]],Tabella2[[#This Row],[Tipo]],INDEX(Tabella2[Importo],1):Tabella2[[#This Row],[Importo]])</f>
        <v>0</v>
      </c>
      <c r="I29" t="str">
        <f>IF(AND(H29&lt;&gt;"",H30&lt;&gt;H29),SUM(E$2:E29)-SUM(I$1:I28),"")</f>
        <v/>
      </c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</sheetData>
  <dataConsolidate link="1"/>
  <conditionalFormatting sqref="G1:G29">
    <cfRule type="cellIs" dxfId="7" priority="7" operator="equal">
      <formula>0</formula>
    </cfRule>
    <cfRule type="cellIs" dxfId="6" priority="8" operator="equal">
      <formula>0</formula>
    </cfRule>
  </conditionalFormatting>
  <conditionalFormatting sqref="E3">
    <cfRule type="cellIs" dxfId="3" priority="3" operator="equal">
      <formula>0</formula>
    </cfRule>
    <cfRule type="cellIs" dxfId="2" priority="4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4!$D$15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7</xdr:col>
                <xdr:colOff>1479550</xdr:colOff>
                <xdr:row>15</xdr:row>
                <xdr:rowOff>69850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Rapporti!$A:$A</xm:f>
          </x14:formula1>
          <xm:sqref>F1:F2 F5:F15 F18:F29</xm:sqref>
        </x14:dataValidation>
        <x14:dataValidation type="list" allowBlank="1" showInputMessage="1" showErrorMessage="1" xr:uid="{00000000-0002-0000-0100-000001000000}">
          <x14:formula1>
            <xm:f>Raggruppamenti!$A:$A</xm:f>
          </x14:formula1>
          <xm:sqref>H1:H2 H5:H1048576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6"/>
  <dimension ref="A1:A2"/>
  <sheetViews>
    <sheetView workbookViewId="0">
      <selection activeCell="A3" sqref="A3"/>
    </sheetView>
  </sheetViews>
  <sheetFormatPr defaultRowHeight="14.5" x14ac:dyDescent="0.35"/>
  <sheetData>
    <row r="1" spans="1:1" x14ac:dyDescent="0.35">
      <c r="A1" t="s">
        <v>182</v>
      </c>
    </row>
    <row r="2" spans="1:1" x14ac:dyDescent="0.35">
      <c r="A2" t="s">
        <v>183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C13"/>
  <sheetViews>
    <sheetView workbookViewId="0">
      <selection activeCell="C12" sqref="C12"/>
    </sheetView>
  </sheetViews>
  <sheetFormatPr defaultRowHeight="14.5" x14ac:dyDescent="0.35"/>
  <cols>
    <col min="2" max="3" width="9.1796875" style="6"/>
  </cols>
  <sheetData>
    <row r="1" spans="1:3" x14ac:dyDescent="0.35">
      <c r="A1" t="s">
        <v>125</v>
      </c>
      <c r="B1" s="6" t="s">
        <v>126</v>
      </c>
      <c r="C1" s="6" t="s">
        <v>127</v>
      </c>
    </row>
    <row r="2" spans="1:3" x14ac:dyDescent="0.35">
      <c r="A2" t="s">
        <v>128</v>
      </c>
      <c r="B2" s="6">
        <v>3</v>
      </c>
      <c r="C2" s="6">
        <f>SUMIF($A$2:$A2,Tabella1[[#This Row],[Product]],$B$2:$B2)</f>
        <v>3</v>
      </c>
    </row>
    <row r="3" spans="1:3" x14ac:dyDescent="0.35">
      <c r="A3" t="s">
        <v>128</v>
      </c>
      <c r="B3" s="6">
        <v>4</v>
      </c>
      <c r="C3" s="6">
        <f>SUMIF($A$2:$A3,Tabella1[[#This Row],[Product]],$B$2:$B3)</f>
        <v>7</v>
      </c>
    </row>
    <row r="4" spans="1:3" x14ac:dyDescent="0.35">
      <c r="A4" t="s">
        <v>129</v>
      </c>
      <c r="B4" s="6">
        <v>23</v>
      </c>
      <c r="C4" s="6">
        <f>SUMIF($A$2:$A4,Tabella1[[#This Row],[Product]],$B$2:$B4)</f>
        <v>23</v>
      </c>
    </row>
    <row r="5" spans="1:3" x14ac:dyDescent="0.35">
      <c r="A5" t="s">
        <v>128</v>
      </c>
      <c r="B5" s="6">
        <v>2</v>
      </c>
      <c r="C5" s="6">
        <f>SUMIF($A$2:$A5,Tabella1[[#This Row],[Product]],$B$2:$B5)</f>
        <v>9</v>
      </c>
    </row>
    <row r="6" spans="1:3" x14ac:dyDescent="0.35">
      <c r="A6" t="s">
        <v>128</v>
      </c>
      <c r="B6" s="6">
        <v>1</v>
      </c>
      <c r="C6" s="6">
        <f>SUMIF($A$2:$A6,Tabella1[[#This Row],[Product]],$B$2:$B6)</f>
        <v>10</v>
      </c>
    </row>
    <row r="7" spans="1:3" x14ac:dyDescent="0.35">
      <c r="A7" t="s">
        <v>129</v>
      </c>
      <c r="B7" s="6">
        <v>3</v>
      </c>
      <c r="C7" s="6">
        <f>SUMIF($A$2:$A7,Tabella1[[#This Row],[Product]],$B$2:$B7)</f>
        <v>26</v>
      </c>
    </row>
    <row r="8" spans="1:3" x14ac:dyDescent="0.35">
      <c r="A8" t="s">
        <v>128</v>
      </c>
      <c r="B8" s="6">
        <v>1</v>
      </c>
      <c r="C8" s="6">
        <f>SUMIF($A$2:$A8,Tabella1[[#This Row],[Product]],$B$2:$B8)</f>
        <v>11</v>
      </c>
    </row>
    <row r="9" spans="1:3" x14ac:dyDescent="0.35">
      <c r="A9" t="s">
        <v>129</v>
      </c>
      <c r="B9" s="6">
        <v>2</v>
      </c>
      <c r="C9" s="6">
        <f>SUMIF($A$2:$A9,Tabella1[[#This Row],[Product]],$B$2:$B9)</f>
        <v>28</v>
      </c>
    </row>
    <row r="10" spans="1:3" x14ac:dyDescent="0.35">
      <c r="A10" t="s">
        <v>128</v>
      </c>
      <c r="B10" s="6">
        <v>1</v>
      </c>
      <c r="C10" s="6">
        <f>SUMIF($A$2:$A10,Tabella1[[#This Row],[Product]],$B$2:$B10)</f>
        <v>12</v>
      </c>
    </row>
    <row r="11" spans="1:3" x14ac:dyDescent="0.35">
      <c r="A11" t="s">
        <v>128</v>
      </c>
      <c r="B11" s="6">
        <v>1</v>
      </c>
      <c r="C11" s="6">
        <f>SUMIF($A$2:$A11,Tabella1[[#This Row],[Product]],$B$2:$B11)</f>
        <v>13</v>
      </c>
    </row>
    <row r="12" spans="1:3" x14ac:dyDescent="0.35">
      <c r="A12" t="s">
        <v>128</v>
      </c>
      <c r="B12" s="6">
        <v>1</v>
      </c>
      <c r="C12" s="6">
        <f>SUMIF($A$2:$A12,Tabella1[[#This Row],[Product]],$B$2:$B12)</f>
        <v>14</v>
      </c>
    </row>
    <row r="13" spans="1:3" x14ac:dyDescent="0.35">
      <c r="A13" t="s">
        <v>128</v>
      </c>
      <c r="B13" s="6">
        <v>1</v>
      </c>
      <c r="C13" s="6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A1:A2"/>
  <sheetViews>
    <sheetView workbookViewId="0">
      <selection sqref="A1:XFD1048576"/>
    </sheetView>
  </sheetViews>
  <sheetFormatPr defaultRowHeight="14.5" x14ac:dyDescent="0.35"/>
  <cols>
    <col min="1" max="1" width="14.453125" bestFit="1" customWidth="1"/>
  </cols>
  <sheetData>
    <row r="1" spans="1:1" x14ac:dyDescent="0.35">
      <c r="A1" t="s">
        <v>111</v>
      </c>
    </row>
    <row r="2" spans="1:1" x14ac:dyDescent="0.3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3"/>
  <sheetViews>
    <sheetView workbookViewId="0">
      <selection activeCell="A12" sqref="A12"/>
    </sheetView>
  </sheetViews>
  <sheetFormatPr defaultRowHeight="14.5" x14ac:dyDescent="0.35"/>
  <cols>
    <col min="1" max="1" width="114.453125" customWidth="1"/>
  </cols>
  <sheetData>
    <row r="1" spans="1:1" x14ac:dyDescent="0.35">
      <c r="A1" s="4" t="s">
        <v>113</v>
      </c>
    </row>
    <row r="2" spans="1:1" x14ac:dyDescent="0.35">
      <c r="A2" s="4" t="s">
        <v>114</v>
      </c>
    </row>
    <row r="3" spans="1:1" x14ac:dyDescent="0.35">
      <c r="A3" t="s">
        <v>181</v>
      </c>
    </row>
  </sheetData>
  <hyperlinks>
    <hyperlink ref="A1" r:id="rId1" display="https://creativecommons.org/licenses/by-nc/3.0/it/" xr:uid="{00000000-0004-0000-0500-000000000000}"/>
    <hyperlink ref="A2" r:id="rId2" xr:uid="{00000000-0004-0000-0500-000001000000}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VociRendiconto</vt:lpstr>
      <vt:lpstr>Bilancio_2024</vt:lpstr>
      <vt:lpstr>Cassa_2024</vt:lpstr>
      <vt:lpstr>Raggruppamenti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2025-05-27T13:08:13Z</dcterms:modified>
</cp:coreProperties>
</file>