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_2020" sheetId="2" r:id="rId2"/>
    <sheet name="Bilancio" sheetId="5" r:id="rId3"/>
    <sheet name="Rapporti" sheetId="3" r:id="rId4"/>
    <sheet name="Info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2" l="1"/>
  <c r="G12" i="2"/>
  <c r="G11" i="2"/>
  <c r="G10" i="2" l="1"/>
  <c r="G9" i="2"/>
  <c r="G8" i="2"/>
  <c r="G7" i="2"/>
  <c r="G6" i="2"/>
  <c r="G5" i="2"/>
  <c r="G4" i="2"/>
  <c r="A84" i="1" l="1"/>
  <c r="A85" i="1" s="1"/>
  <c r="A86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G3" i="2"/>
  <c r="G2" i="2" l="1"/>
  <c r="C12" i="5" l="1"/>
  <c r="C13" i="5"/>
  <c r="C11" i="5"/>
  <c r="C3" i="5"/>
  <c r="C4" i="5"/>
  <c r="C5" i="5"/>
  <c r="C6" i="5"/>
  <c r="C7" i="5"/>
  <c r="C8" i="5"/>
  <c r="C9" i="5"/>
  <c r="C10" i="5"/>
  <c r="C2" i="5"/>
</calcChain>
</file>

<file path=xl/sharedStrings.xml><?xml version="1.0" encoding="utf-8"?>
<sst xmlns="http://schemas.openxmlformats.org/spreadsheetml/2006/main" count="303" uniqueCount="187">
  <si>
    <t>Codice</t>
  </si>
  <si>
    <t>Descrizione</t>
  </si>
  <si>
    <t>DataInizio</t>
  </si>
  <si>
    <t>DataFine</t>
  </si>
  <si>
    <t>E.A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</si>
  <si>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</si>
  <si>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</si>
  <si>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</si>
  <si>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</si>
  <si>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</si>
  <si>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</si>
  <si>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</si>
  <si>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</si>
  <si>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</si>
  <si>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</si>
  <si>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</si>
  <si>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</si>
  <si>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</si>
  <si>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</si>
  <si>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</si>
  <si>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</si>
  <si>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</si>
  <si>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</si>
  <si>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</si>
  <si>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</si>
  <si>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</si>
  <si>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</si>
  <si>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</si>
  <si>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</si>
  <si>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</si>
  <si>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</si>
  <si>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</si>
  <si>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</si>
  <si>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</si>
  <si>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</si>
  <si>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</si>
  <si>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</si>
  <si>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</si>
  <si>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</si>
  <si>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</si>
  <si>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</si>
  <si>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</si>
  <si>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</si>
  <si>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</si>
  <si>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</si>
  <si>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</si>
  <si>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</si>
  <si>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</si>
  <si>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</si>
  <si>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</si>
  <si>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</si>
  <si>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</si>
  <si>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</si>
  <si>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</si>
  <si>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</si>
  <si>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</si>
  <si>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</si>
  <si>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</si>
  <si>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</si>
  <si>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</si>
  <si>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</si>
  <si>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</si>
  <si>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</si>
  <si>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</si>
  <si>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</si>
  <si>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</si>
  <si>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</si>
  <si>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</si>
  <si>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</si>
  <si>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</si>
  <si>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</si>
  <si>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</si>
  <si>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</si>
  <si>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</si>
  <si>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</si>
  <si>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</si>
  <si>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</si>
  <si>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</si>
  <si>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</si>
  <si>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</si>
  <si>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</si>
  <si>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</si>
  <si>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</si>
  <si>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</si>
  <si>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</si>
  <si>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</si>
  <si>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</si>
  <si>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</si>
  <si>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</si>
  <si>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</si>
  <si>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</si>
  <si>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</si>
  <si>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</si>
  <si>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</si>
  <si>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</si>
  <si>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</si>
  <si>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</si>
  <si>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</si>
  <si>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</si>
  <si>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</si>
  <si>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</si>
  <si>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</si>
  <si>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</si>
  <si>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</si>
  <si>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</si>
  <si>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</si>
  <si>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</si>
  <si>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</si>
  <si>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</si>
  <si>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</si>
  <si>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</si>
  <si>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</si>
  <si>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</si>
  <si>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</si>
  <si>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</si>
  <si>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</si>
  <si>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</si>
  <si>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</si>
  <si>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</si>
  <si>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</si>
  <si>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</si>
  <si>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</si>
  <si>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</si>
  <si>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</si>
  <si>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Saldo</t>
  </si>
  <si>
    <t>Product</t>
  </si>
  <si>
    <t>value</t>
  </si>
  <si>
    <t>total</t>
  </si>
  <si>
    <t>apple</t>
  </si>
  <si>
    <t>pear</t>
  </si>
  <si>
    <t>prova di descrizione</t>
  </si>
  <si>
    <t>1) Materie prime, sussidiarie, di consumo e di merci</t>
  </si>
  <si>
    <t>2) Servizi</t>
  </si>
  <si>
    <t>Totale</t>
  </si>
  <si>
    <t>Ordinamento</t>
  </si>
  <si>
    <t>Z</t>
  </si>
  <si>
    <t>Voci di servizio</t>
  </si>
  <si>
    <t>Z.Z</t>
  </si>
  <si>
    <t>Voci di cassa</t>
  </si>
  <si>
    <t>Voci strumentali di bilancio uscite</t>
  </si>
  <si>
    <t>Z.U</t>
  </si>
  <si>
    <t>Z.U.1</t>
  </si>
  <si>
    <t>Z.U.2</t>
  </si>
  <si>
    <t>Z.U.3</t>
  </si>
  <si>
    <t>Z.U.4</t>
  </si>
  <si>
    <t>Z.U.5</t>
  </si>
  <si>
    <t>Z.E.1</t>
  </si>
  <si>
    <t>Z.E.2</t>
  </si>
  <si>
    <t>Z.E.3</t>
  </si>
  <si>
    <t>Z.E.4</t>
  </si>
  <si>
    <t>Z.E.5</t>
  </si>
  <si>
    <t>Avanzo/disavanzo attività finanziarie e patrimoniali</t>
  </si>
  <si>
    <t>Avanzo/disavanzo attività di interesse generale</t>
  </si>
  <si>
    <t>Avanzo/disavanzo attività diverse</t>
  </si>
  <si>
    <t>Z.E.6</t>
  </si>
  <si>
    <t>Avanzo/disavanzo attività di raccolta fondi</t>
  </si>
  <si>
    <t>Z.E.7</t>
  </si>
  <si>
    <t>Z.E.8</t>
  </si>
  <si>
    <t>Z.E.9</t>
  </si>
  <si>
    <t>Z.E.10</t>
  </si>
  <si>
    <t>Avanzo/disavanzo d’esercizio prima delle imposte</t>
  </si>
  <si>
    <t>Z.E.11</t>
  </si>
  <si>
    <t>Imposte</t>
  </si>
  <si>
    <t>Avanzo/disavanzo d’esercizio prima di investimenti e disinvestimenti patrimoniali, e finanziamenti</t>
  </si>
  <si>
    <t>Z.E.12</t>
  </si>
  <si>
    <t>ElencoPuntato</t>
  </si>
  <si>
    <t>A)</t>
  </si>
  <si>
    <t>1)</t>
  </si>
  <si>
    <t>2)</t>
  </si>
  <si>
    <t>3)</t>
  </si>
  <si>
    <t>4)</t>
  </si>
  <si>
    <t>5)</t>
  </si>
  <si>
    <t>C)</t>
  </si>
  <si>
    <t>D)</t>
  </si>
  <si>
    <t>E)</t>
  </si>
  <si>
    <t>6)</t>
  </si>
  <si>
    <t>7)</t>
  </si>
  <si>
    <t>8)</t>
  </si>
  <si>
    <t>9)</t>
  </si>
  <si>
    <t>10)</t>
  </si>
  <si>
    <t>B)</t>
  </si>
  <si>
    <t>CodiceVoce</t>
  </si>
  <si>
    <t>Voce</t>
  </si>
  <si>
    <t>Uscite da attività di interesse generale</t>
  </si>
  <si>
    <t>L'ultima versione di questo foglio è scaricabile da https://github.com/FoliniC/RendicontoCassaETS</t>
  </si>
  <si>
    <t>U.A.2.1</t>
  </si>
  <si>
    <t>Prova sottovoce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</si>
</sst>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14" fontId="0" fillId="0" borderId="0" xfId="0" quotePrefix="1" applyNumberFormat="1" applyFont="1"/>
  </cellXfs>
  <cellStyles count="2">
    <cellStyle name="Collegamento ipertestuale" xfId="1" builtinId="8"/>
    <cellStyle name="Normale" xfId="0" builtinId="0"/>
  </cellStyles>
  <dxfs count="10">
    <dxf>
      <font>
        <color theme="0"/>
      </font>
    </dxf>
    <dxf>
      <numFmt numFmtId="164" formatCode="0;\-0;;@"/>
    </dxf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azzettaufficiale.it/do/atto/serie_generale/caricaPdf?cdimg=20A0215800100010110002&amp;dgu=2020-04-18&amp;art.dataPubblicazioneGazzetta=2020-04-18&amp;art.codiceRedazionale=20A02158&amp;art.num=1&amp;art.tiposerie=S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176622</xdr:colOff>
      <xdr:row>1</xdr:row>
      <xdr:rowOff>138773</xdr:rowOff>
    </xdr:from>
    <xdr:to>
      <xdr:col>14</xdr:col>
      <xdr:colOff>428940</xdr:colOff>
      <xdr:row>25</xdr:row>
      <xdr:rowOff>164006</xdr:rowOff>
    </xdr:to>
    <xdr:sp macro="" textlink="">
      <xdr:nvSpPr>
        <xdr:cNvPr id="2" name="CasellaDiTesto 1">
          <a:hlinkClick xmlns:r="http://schemas.openxmlformats.org/officeDocument/2006/relationships" r:id="rId1"/>
        </xdr:cNvPr>
        <xdr:cNvSpPr txBox="1"/>
      </xdr:nvSpPr>
      <xdr:spPr>
        <a:xfrm>
          <a:off x="6648576" y="328011"/>
          <a:ext cx="4535414" cy="4566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/>
            <a:t>Il foglio contiene le voci utilizzate per la rendicontazione nel foglio "Cassa". Tali movimenti vengono poi totalizzati nel foglio "Bilancio".</a:t>
          </a:r>
        </a:p>
        <a:p>
          <a:r>
            <a:rPr lang="it-IT" sz="1100" b="0" i="0"/>
            <a:t>Le voci sono inizialmente quelle specificate</a:t>
          </a:r>
          <a:r>
            <a:rPr lang="it-IT" sz="1100" b="0" i="0" baseline="0"/>
            <a:t> del modello D nell'allegato 1 del </a:t>
          </a:r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Decreto 5 marzo 2020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pubblicato sulla Gazzetta Ufficiale 18 aprile 2020, n. 102.</a:t>
          </a:r>
        </a:p>
        <a:p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Solo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 voci di terzo livello (quelle contenenti due punti nel "codice" es. U.A.2 - Servizi) o di livelli inferiori sono utilizzabili nel foglio di cassa.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 meglio specificare l'ambito delle voci si possono aggiungere nuove voci di terzo livello (o livelli ancora inferiori). Es. U.A.2.1 - Servizio 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foglio "Bilancio" solo le voci del modello D sono totalizzate (raggruppando le voci di livello inferiore).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voci che hanno il codice che inizia per U (uscite) e per E (entrate) sono quelle relative al rendiconto del modello D. Le voci che hanno il codice che inizia con Z sono voci 'strumentali' (saldi iniziali/finali, movimenti di giroconto).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numero della colonna "Id" è un progressivo univoco associato alla voce in modo automatico. L'impostazione manuale ti tale codice è sconsigliato.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E' altresì sconsigliato cancellare una voce precedentemente usata.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caso che ad una voce venga cambiato il significato il procedimento corretto è quello di impostare la colonna "DataFine" nel giorno di tale cambiamento, mentre sulla voce modificata impostando come "DataInizio" il giorno seguente.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Ovviamente tale procedura può essere evitata nel caso che la voce modificata non sia mai stata usata.</a:t>
          </a:r>
        </a:p>
        <a:p>
          <a:endParaRPr lang="it-IT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8</xdr:col>
          <xdr:colOff>561975</xdr:colOff>
          <xdr:row>13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140932</xdr:colOff>
      <xdr:row>1</xdr:row>
      <xdr:rowOff>160369</xdr:rowOff>
    </xdr:from>
    <xdr:to>
      <xdr:col>11</xdr:col>
      <xdr:colOff>179809</xdr:colOff>
      <xdr:row>3</xdr:row>
      <xdr:rowOff>87474</xdr:rowOff>
    </xdr:to>
    <xdr:sp macro="[0]!CalcolaBilancio" textlink="">
      <xdr:nvSpPr>
        <xdr:cNvPr id="2" name="Rettangolo arrotondato 1"/>
        <xdr:cNvSpPr/>
      </xdr:nvSpPr>
      <xdr:spPr>
        <a:xfrm>
          <a:off x="7056276" y="349897"/>
          <a:ext cx="1861263" cy="30616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Calcola</a:t>
          </a:r>
          <a:r>
            <a:rPr lang="it-IT" sz="1100" baseline="0"/>
            <a:t> bilancio annuale</a:t>
          </a:r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ElencoVoci" displayName="ElencoVoci" ref="A1:G87" totalsRowShown="0">
  <autoFilter ref="A1:G87"/>
  <tableColumns count="7">
    <tableColumn id="1" name="Id" dataDxfId="9"/>
    <tableColumn id="2" name="Codice"/>
    <tableColumn id="7" name="ElencoPuntato"/>
    <tableColumn id="3" name="Descrizione" dataDxfId="8"/>
    <tableColumn id="4" name="DataInizio" dataDxfId="7"/>
    <tableColumn id="5" name="DataFine" dataDxfId="6"/>
    <tableColumn id="6" name="Ordin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1:H13" totalsRowShown="0">
  <autoFilter ref="A1:H13"/>
  <tableColumns count="8">
    <tableColumn id="1" name="Data" dataDxfId="5"/>
    <tableColumn id="2" name="Descrizione"/>
    <tableColumn id="3" name="CodiceVoce"/>
    <tableColumn id="4" name="Voce"/>
    <tableColumn id="5" name="Importo"/>
    <tableColumn id="6" name="Tipo"/>
    <tableColumn id="7" name="Saldo" dataDxfId="4">
      <calculatedColumnFormula>SUMIF(INDEX(Tabella2[Tipo],1):Tabella2[[#This Row],[Tipo]],Tabella2[[#This Row],[Tipo]],INDEX(Tabella2[Importo],1):Tabella2[[#This Row],[Importo]])</calculatedColumnFormula>
    </tableColumn>
    <tableColumn id="8" name="Raggruppam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la1" displayName="Tabella1" ref="A1:C13" totalsRowShown="0">
  <autoFilter ref="A1:C13"/>
  <tableColumns count="3">
    <tableColumn id="1" name="Product"/>
    <tableColumn id="2" name="value" dataDxfId="3"/>
    <tableColumn id="3" name="total" dataDxfId="2">
      <calculatedColumnFormula>SUMIF($A$2:$A2,Tabella1[[#This Row],[Product]],$B$2:$B2)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200"/>
  <sheetViews>
    <sheetView zoomScale="151" workbookViewId="0">
      <selection activeCell="G87" sqref="G87"/>
    </sheetView>
  </sheetViews>
  <sheetFormatPr defaultRowHeight="15" x14ac:dyDescent="0.25"/>
  <cols>
    <col min="1" max="1" width="11.28515625" style="2" bestFit="1" customWidth="1"/>
    <col min="2" max="3" width="7.85546875" customWidth="1"/>
    <col min="4" max="4" width="45.5703125" style="3" bestFit="1" customWidth="1"/>
    <col min="5" max="5" width="12" style="6" bestFit="1" customWidth="1"/>
    <col min="6" max="6" width="11.140625" style="6" bestFit="1" customWidth="1"/>
  </cols>
  <sheetData>
    <row r="1" spans="1:7" x14ac:dyDescent="0.25">
      <c r="A1" s="2" t="s">
        <v>45</v>
      </c>
      <c r="B1" t="s">
        <v>0</v>
      </c>
      <c r="C1" t="s">
        <v>165</v>
      </c>
      <c r="D1" s="3" t="s">
        <v>1</v>
      </c>
      <c r="E1" s="6" t="s">
        <v>2</v>
      </c>
      <c r="F1" s="6" t="s">
        <v>3</v>
      </c>
      <c r="G1" t="s">
        <v>134</v>
      </c>
    </row>
    <row r="2" spans="1:7" x14ac:dyDescent="0.25">
      <c r="A2" s="2">
        <v>1</v>
      </c>
      <c r="B2" t="s">
        <v>46</v>
      </c>
      <c r="D2" s="3" t="s">
        <v>77</v>
      </c>
      <c r="E2" s="1">
        <v>44197</v>
      </c>
      <c r="G2">
        <v>1</v>
      </c>
    </row>
    <row r="3" spans="1:7" x14ac:dyDescent="0.25">
      <c r="A3" s="2">
        <f>A2+1</f>
        <v>2</v>
      </c>
      <c r="B3" t="s">
        <v>47</v>
      </c>
      <c r="C3" t="s">
        <v>166</v>
      </c>
      <c r="D3" s="3" t="s">
        <v>183</v>
      </c>
      <c r="E3" s="1">
        <v>44197</v>
      </c>
      <c r="G3">
        <v>2</v>
      </c>
    </row>
    <row r="4" spans="1:7" x14ac:dyDescent="0.25">
      <c r="A4" s="2">
        <f>A3+1</f>
        <v>3</v>
      </c>
      <c r="B4" t="s">
        <v>48</v>
      </c>
      <c r="C4" t="s">
        <v>167</v>
      </c>
      <c r="D4" s="3" t="s">
        <v>6</v>
      </c>
      <c r="E4" s="1">
        <v>44197</v>
      </c>
      <c r="G4">
        <v>4</v>
      </c>
    </row>
    <row r="5" spans="1:7" x14ac:dyDescent="0.25">
      <c r="A5" s="2">
        <f t="shared" ref="A5:A68" si="0">A4+1</f>
        <v>4</v>
      </c>
      <c r="B5" t="s">
        <v>49</v>
      </c>
      <c r="C5" t="s">
        <v>168</v>
      </c>
      <c r="D5" s="3" t="s">
        <v>8</v>
      </c>
      <c r="E5" s="1">
        <v>44197</v>
      </c>
      <c r="G5">
        <v>5</v>
      </c>
    </row>
    <row r="6" spans="1:7" x14ac:dyDescent="0.25">
      <c r="A6" s="2">
        <f t="shared" si="0"/>
        <v>5</v>
      </c>
      <c r="B6" t="s">
        <v>50</v>
      </c>
      <c r="C6" t="s">
        <v>169</v>
      </c>
      <c r="D6" s="3" t="s">
        <v>10</v>
      </c>
      <c r="E6" s="1">
        <v>44197</v>
      </c>
      <c r="G6">
        <v>7</v>
      </c>
    </row>
    <row r="7" spans="1:7" x14ac:dyDescent="0.25">
      <c r="A7" s="2">
        <f t="shared" si="0"/>
        <v>6</v>
      </c>
      <c r="B7" t="s">
        <v>51</v>
      </c>
      <c r="C7" t="s">
        <v>170</v>
      </c>
      <c r="D7" s="3" t="s">
        <v>13</v>
      </c>
      <c r="E7" s="1">
        <v>44197</v>
      </c>
      <c r="G7">
        <v>8</v>
      </c>
    </row>
    <row r="8" spans="1:7" x14ac:dyDescent="0.25">
      <c r="A8" s="2">
        <f t="shared" si="0"/>
        <v>7</v>
      </c>
      <c r="B8" t="s">
        <v>52</v>
      </c>
      <c r="C8" t="s">
        <v>171</v>
      </c>
      <c r="D8" s="3" t="s">
        <v>14</v>
      </c>
      <c r="E8" s="1">
        <v>44197</v>
      </c>
      <c r="G8">
        <v>10</v>
      </c>
    </row>
    <row r="9" spans="1:7" x14ac:dyDescent="0.25">
      <c r="A9" s="2">
        <f t="shared" si="0"/>
        <v>8</v>
      </c>
      <c r="B9" t="s">
        <v>53</v>
      </c>
      <c r="C9" t="s">
        <v>180</v>
      </c>
      <c r="D9" s="3" t="s">
        <v>16</v>
      </c>
      <c r="E9" s="1">
        <v>44197</v>
      </c>
      <c r="G9">
        <v>15</v>
      </c>
    </row>
    <row r="10" spans="1:7" x14ac:dyDescent="0.25">
      <c r="A10" s="2">
        <f t="shared" si="0"/>
        <v>9</v>
      </c>
      <c r="B10" t="s">
        <v>54</v>
      </c>
      <c r="C10" t="s">
        <v>167</v>
      </c>
      <c r="D10" s="3" t="s">
        <v>6</v>
      </c>
      <c r="E10" s="1">
        <v>44197</v>
      </c>
      <c r="G10">
        <v>16</v>
      </c>
    </row>
    <row r="11" spans="1:7" x14ac:dyDescent="0.25">
      <c r="A11" s="2">
        <f t="shared" si="0"/>
        <v>10</v>
      </c>
      <c r="B11" t="s">
        <v>55</v>
      </c>
      <c r="C11" t="s">
        <v>168</v>
      </c>
      <c r="D11" s="3" t="s">
        <v>8</v>
      </c>
      <c r="E11" s="1">
        <v>44197</v>
      </c>
      <c r="G11">
        <v>17</v>
      </c>
    </row>
    <row r="12" spans="1:7" x14ac:dyDescent="0.25">
      <c r="A12" s="2">
        <f t="shared" si="0"/>
        <v>11</v>
      </c>
      <c r="B12" t="s">
        <v>56</v>
      </c>
      <c r="C12" t="s">
        <v>169</v>
      </c>
      <c r="D12" s="3" t="s">
        <v>10</v>
      </c>
      <c r="E12" s="1">
        <v>44197</v>
      </c>
      <c r="G12">
        <v>18</v>
      </c>
    </row>
    <row r="13" spans="1:7" x14ac:dyDescent="0.25">
      <c r="A13" s="2">
        <f t="shared" si="0"/>
        <v>12</v>
      </c>
      <c r="B13" t="s">
        <v>57</v>
      </c>
      <c r="C13" t="s">
        <v>170</v>
      </c>
      <c r="D13" s="3" t="s">
        <v>13</v>
      </c>
      <c r="E13" s="1">
        <v>44197</v>
      </c>
      <c r="G13">
        <v>19</v>
      </c>
    </row>
    <row r="14" spans="1:7" x14ac:dyDescent="0.25">
      <c r="A14" s="2">
        <f t="shared" si="0"/>
        <v>13</v>
      </c>
      <c r="B14" t="s">
        <v>58</v>
      </c>
      <c r="C14" t="s">
        <v>171</v>
      </c>
      <c r="D14" s="3" t="s">
        <v>14</v>
      </c>
      <c r="E14" s="1">
        <v>44197</v>
      </c>
      <c r="G14">
        <v>20</v>
      </c>
    </row>
    <row r="15" spans="1:7" x14ac:dyDescent="0.25">
      <c r="A15" s="2">
        <f t="shared" si="0"/>
        <v>14</v>
      </c>
      <c r="B15" t="s">
        <v>59</v>
      </c>
      <c r="C15" t="s">
        <v>172</v>
      </c>
      <c r="D15" s="3" t="s">
        <v>23</v>
      </c>
      <c r="E15" s="1">
        <v>44197</v>
      </c>
      <c r="G15">
        <v>24</v>
      </c>
    </row>
    <row r="16" spans="1:7" x14ac:dyDescent="0.25">
      <c r="A16" s="2">
        <f t="shared" si="0"/>
        <v>15</v>
      </c>
      <c r="B16" t="s">
        <v>60</v>
      </c>
      <c r="C16" t="s">
        <v>167</v>
      </c>
      <c r="D16" s="3" t="s">
        <v>27</v>
      </c>
      <c r="E16" s="1">
        <v>44197</v>
      </c>
      <c r="G16">
        <v>25</v>
      </c>
    </row>
    <row r="17" spans="1:7" x14ac:dyDescent="0.25">
      <c r="A17" s="2">
        <f t="shared" si="0"/>
        <v>16</v>
      </c>
      <c r="B17" t="s">
        <v>61</v>
      </c>
      <c r="C17" t="s">
        <v>168</v>
      </c>
      <c r="D17" s="4" t="s">
        <v>28</v>
      </c>
      <c r="E17" s="1">
        <v>44197</v>
      </c>
      <c r="G17">
        <v>26</v>
      </c>
    </row>
    <row r="18" spans="1:7" x14ac:dyDescent="0.25">
      <c r="A18" s="2">
        <f t="shared" si="0"/>
        <v>17</v>
      </c>
      <c r="B18" t="s">
        <v>62</v>
      </c>
      <c r="C18" t="s">
        <v>169</v>
      </c>
      <c r="D18" s="3" t="s">
        <v>29</v>
      </c>
      <c r="E18" s="1">
        <v>44197</v>
      </c>
      <c r="G18">
        <v>27</v>
      </c>
    </row>
    <row r="19" spans="1:7" x14ac:dyDescent="0.25">
      <c r="A19" s="2">
        <f t="shared" si="0"/>
        <v>18</v>
      </c>
      <c r="B19" t="s">
        <v>63</v>
      </c>
      <c r="C19" t="s">
        <v>173</v>
      </c>
      <c r="D19" s="3" t="s">
        <v>31</v>
      </c>
      <c r="E19" s="1">
        <v>44197</v>
      </c>
      <c r="G19">
        <v>30</v>
      </c>
    </row>
    <row r="20" spans="1:7" x14ac:dyDescent="0.25">
      <c r="A20" s="2">
        <f t="shared" si="0"/>
        <v>19</v>
      </c>
      <c r="B20" t="s">
        <v>64</v>
      </c>
      <c r="C20" t="s">
        <v>167</v>
      </c>
      <c r="D20" s="3" t="s">
        <v>37</v>
      </c>
      <c r="E20" s="1">
        <v>44197</v>
      </c>
      <c r="G20">
        <v>31</v>
      </c>
    </row>
    <row r="21" spans="1:7" x14ac:dyDescent="0.25">
      <c r="A21" s="2">
        <f t="shared" si="0"/>
        <v>20</v>
      </c>
      <c r="B21" t="s">
        <v>65</v>
      </c>
      <c r="C21" t="s">
        <v>168</v>
      </c>
      <c r="D21" s="3" t="s">
        <v>38</v>
      </c>
      <c r="E21" s="1">
        <v>44197</v>
      </c>
      <c r="G21">
        <v>32</v>
      </c>
    </row>
    <row r="22" spans="1:7" x14ac:dyDescent="0.25">
      <c r="A22" s="2">
        <f t="shared" si="0"/>
        <v>21</v>
      </c>
      <c r="B22" t="s">
        <v>66</v>
      </c>
      <c r="C22" t="s">
        <v>169</v>
      </c>
      <c r="D22" s="3" t="s">
        <v>39</v>
      </c>
      <c r="E22" s="1">
        <v>44197</v>
      </c>
      <c r="G22">
        <v>33</v>
      </c>
    </row>
    <row r="23" spans="1:7" x14ac:dyDescent="0.25">
      <c r="A23" s="2">
        <f t="shared" si="0"/>
        <v>22</v>
      </c>
      <c r="B23" t="s">
        <v>67</v>
      </c>
      <c r="C23" t="s">
        <v>170</v>
      </c>
      <c r="D23" s="3" t="s">
        <v>40</v>
      </c>
      <c r="E23" s="1">
        <v>44197</v>
      </c>
      <c r="G23">
        <v>34</v>
      </c>
    </row>
    <row r="24" spans="1:7" x14ac:dyDescent="0.25">
      <c r="A24" s="2">
        <f t="shared" si="0"/>
        <v>23</v>
      </c>
      <c r="B24" t="s">
        <v>68</v>
      </c>
      <c r="C24" t="s">
        <v>171</v>
      </c>
      <c r="D24" s="3" t="s">
        <v>29</v>
      </c>
      <c r="E24" s="1">
        <v>44197</v>
      </c>
      <c r="G24">
        <v>37</v>
      </c>
    </row>
    <row r="25" spans="1:7" x14ac:dyDescent="0.25">
      <c r="A25" s="2">
        <f t="shared" si="0"/>
        <v>24</v>
      </c>
      <c r="B25" t="s">
        <v>69</v>
      </c>
      <c r="C25" t="s">
        <v>174</v>
      </c>
      <c r="D25" s="3" t="s">
        <v>42</v>
      </c>
      <c r="E25" s="1">
        <v>44197</v>
      </c>
      <c r="G25">
        <v>38</v>
      </c>
    </row>
    <row r="26" spans="1:7" x14ac:dyDescent="0.25">
      <c r="A26" s="2">
        <f t="shared" si="0"/>
        <v>25</v>
      </c>
      <c r="B26" t="s">
        <v>70</v>
      </c>
      <c r="C26" t="s">
        <v>167</v>
      </c>
      <c r="D26" s="3" t="s">
        <v>6</v>
      </c>
      <c r="E26" s="1">
        <v>44197</v>
      </c>
      <c r="G26">
        <v>39</v>
      </c>
    </row>
    <row r="27" spans="1:7" x14ac:dyDescent="0.25">
      <c r="A27" s="2">
        <f t="shared" si="0"/>
        <v>26</v>
      </c>
      <c r="B27" t="s">
        <v>71</v>
      </c>
      <c r="C27" t="s">
        <v>168</v>
      </c>
      <c r="D27" s="3" t="s">
        <v>8</v>
      </c>
      <c r="E27" s="1">
        <v>44197</v>
      </c>
      <c r="G27">
        <v>40</v>
      </c>
    </row>
    <row r="28" spans="1:7" x14ac:dyDescent="0.25">
      <c r="A28" s="2">
        <f t="shared" si="0"/>
        <v>27</v>
      </c>
      <c r="B28" t="s">
        <v>72</v>
      </c>
      <c r="C28" t="s">
        <v>169</v>
      </c>
      <c r="D28" s="3" t="s">
        <v>10</v>
      </c>
      <c r="E28" s="1">
        <v>44197</v>
      </c>
      <c r="G28">
        <v>41</v>
      </c>
    </row>
    <row r="29" spans="1:7" x14ac:dyDescent="0.25">
      <c r="A29" s="2">
        <f t="shared" si="0"/>
        <v>28</v>
      </c>
      <c r="B29" t="s">
        <v>73</v>
      </c>
      <c r="C29" t="s">
        <v>170</v>
      </c>
      <c r="D29" s="3" t="s">
        <v>13</v>
      </c>
      <c r="E29" s="1">
        <v>44197</v>
      </c>
      <c r="G29">
        <v>42</v>
      </c>
    </row>
    <row r="30" spans="1:7" x14ac:dyDescent="0.25">
      <c r="A30" s="2">
        <f t="shared" si="0"/>
        <v>29</v>
      </c>
      <c r="B30" t="s">
        <v>74</v>
      </c>
      <c r="C30" t="s">
        <v>171</v>
      </c>
      <c r="D30" s="3" t="s">
        <v>14</v>
      </c>
      <c r="E30" s="1">
        <v>44197</v>
      </c>
      <c r="G30">
        <v>43</v>
      </c>
    </row>
    <row r="31" spans="1:7" x14ac:dyDescent="0.25">
      <c r="A31" s="2">
        <f t="shared" si="0"/>
        <v>30</v>
      </c>
      <c r="B31" t="s">
        <v>75</v>
      </c>
      <c r="D31" s="3" t="s">
        <v>76</v>
      </c>
      <c r="E31" s="1">
        <v>44197</v>
      </c>
      <c r="G31">
        <v>1</v>
      </c>
    </row>
    <row r="32" spans="1:7" x14ac:dyDescent="0.25">
      <c r="A32" s="2">
        <f t="shared" si="0"/>
        <v>31</v>
      </c>
      <c r="B32" t="s">
        <v>4</v>
      </c>
      <c r="C32" t="s">
        <v>166</v>
      </c>
      <c r="D32" s="3" t="s">
        <v>78</v>
      </c>
      <c r="E32" s="1">
        <v>44197</v>
      </c>
      <c r="G32">
        <v>2</v>
      </c>
    </row>
    <row r="33" spans="1:7" x14ac:dyDescent="0.25">
      <c r="A33" s="2">
        <f t="shared" si="0"/>
        <v>32</v>
      </c>
      <c r="B33" t="s">
        <v>5</v>
      </c>
      <c r="C33" t="s">
        <v>167</v>
      </c>
      <c r="D33" s="3" t="s">
        <v>84</v>
      </c>
      <c r="E33" s="1">
        <v>44197</v>
      </c>
      <c r="G33">
        <v>3</v>
      </c>
    </row>
    <row r="34" spans="1:7" x14ac:dyDescent="0.25">
      <c r="A34" s="2">
        <f t="shared" si="0"/>
        <v>33</v>
      </c>
      <c r="B34" t="s">
        <v>7</v>
      </c>
      <c r="C34" t="s">
        <v>168</v>
      </c>
      <c r="D34" s="3" t="s">
        <v>85</v>
      </c>
      <c r="E34" s="1">
        <v>44197</v>
      </c>
      <c r="G34">
        <v>4</v>
      </c>
    </row>
    <row r="35" spans="1:7" x14ac:dyDescent="0.25">
      <c r="A35" s="2">
        <f t="shared" si="0"/>
        <v>34</v>
      </c>
      <c r="B35" t="s">
        <v>9</v>
      </c>
      <c r="C35" t="s">
        <v>169</v>
      </c>
      <c r="D35" s="3" t="s">
        <v>86</v>
      </c>
      <c r="E35" s="1">
        <v>44197</v>
      </c>
      <c r="G35">
        <v>5</v>
      </c>
    </row>
    <row r="36" spans="1:7" x14ac:dyDescent="0.25">
      <c r="A36" s="2">
        <f t="shared" si="0"/>
        <v>35</v>
      </c>
      <c r="B36" t="s">
        <v>11</v>
      </c>
      <c r="C36" t="s">
        <v>170</v>
      </c>
      <c r="D36" s="3" t="s">
        <v>87</v>
      </c>
      <c r="E36" s="1">
        <v>44197</v>
      </c>
      <c r="G36">
        <v>6</v>
      </c>
    </row>
    <row r="37" spans="1:7" x14ac:dyDescent="0.25">
      <c r="A37" s="2">
        <f t="shared" si="0"/>
        <v>36</v>
      </c>
      <c r="B37" t="s">
        <v>12</v>
      </c>
      <c r="C37" t="s">
        <v>171</v>
      </c>
      <c r="D37" s="3" t="s">
        <v>88</v>
      </c>
      <c r="E37" s="1">
        <v>44197</v>
      </c>
      <c r="G37">
        <v>7</v>
      </c>
    </row>
    <row r="38" spans="1:7" x14ac:dyDescent="0.25">
      <c r="A38" s="2">
        <f t="shared" si="0"/>
        <v>37</v>
      </c>
      <c r="B38" t="s">
        <v>89</v>
      </c>
      <c r="C38" t="s">
        <v>175</v>
      </c>
      <c r="D38" s="3" t="s">
        <v>94</v>
      </c>
      <c r="E38" s="1">
        <v>44197</v>
      </c>
      <c r="G38">
        <v>8</v>
      </c>
    </row>
    <row r="39" spans="1:7" x14ac:dyDescent="0.25">
      <c r="A39" s="2">
        <f t="shared" si="0"/>
        <v>38</v>
      </c>
      <c r="B39" t="s">
        <v>90</v>
      </c>
      <c r="C39" t="s">
        <v>176</v>
      </c>
      <c r="D39" s="3" t="s">
        <v>95</v>
      </c>
      <c r="E39" s="1">
        <v>44197</v>
      </c>
      <c r="G39">
        <v>9</v>
      </c>
    </row>
    <row r="40" spans="1:7" x14ac:dyDescent="0.25">
      <c r="A40" s="2">
        <f t="shared" si="0"/>
        <v>39</v>
      </c>
      <c r="B40" t="s">
        <v>91</v>
      </c>
      <c r="C40" t="s">
        <v>177</v>
      </c>
      <c r="D40" s="3" t="s">
        <v>96</v>
      </c>
      <c r="E40" s="1">
        <v>44197</v>
      </c>
      <c r="G40">
        <v>10</v>
      </c>
    </row>
    <row r="41" spans="1:7" x14ac:dyDescent="0.25">
      <c r="A41" s="2">
        <f t="shared" si="0"/>
        <v>40</v>
      </c>
      <c r="B41" t="s">
        <v>92</v>
      </c>
      <c r="C41" t="s">
        <v>178</v>
      </c>
      <c r="D41" s="3" t="s">
        <v>97</v>
      </c>
      <c r="E41" s="1">
        <v>44197</v>
      </c>
      <c r="G41">
        <v>11</v>
      </c>
    </row>
    <row r="42" spans="1:7" x14ac:dyDescent="0.25">
      <c r="A42" s="2">
        <f t="shared" si="0"/>
        <v>41</v>
      </c>
      <c r="B42" t="s">
        <v>93</v>
      </c>
      <c r="C42" t="s">
        <v>179</v>
      </c>
      <c r="D42" s="3" t="s">
        <v>98</v>
      </c>
      <c r="E42" s="1">
        <v>44197</v>
      </c>
      <c r="G42">
        <v>12</v>
      </c>
    </row>
    <row r="43" spans="1:7" x14ac:dyDescent="0.25">
      <c r="A43" s="2">
        <f t="shared" si="0"/>
        <v>42</v>
      </c>
      <c r="B43" t="s">
        <v>15</v>
      </c>
      <c r="C43" t="s">
        <v>180</v>
      </c>
      <c r="D43" s="3" t="s">
        <v>79</v>
      </c>
      <c r="E43" s="1">
        <v>44197</v>
      </c>
      <c r="G43">
        <v>15</v>
      </c>
    </row>
    <row r="44" spans="1:7" x14ac:dyDescent="0.25">
      <c r="A44" s="2">
        <f t="shared" si="0"/>
        <v>43</v>
      </c>
      <c r="B44" t="s">
        <v>17</v>
      </c>
      <c r="C44" t="s">
        <v>167</v>
      </c>
      <c r="D44" s="3" t="s">
        <v>86</v>
      </c>
      <c r="E44" s="1">
        <v>44197</v>
      </c>
      <c r="G44">
        <v>16</v>
      </c>
    </row>
    <row r="45" spans="1:7" x14ac:dyDescent="0.25">
      <c r="A45" s="2">
        <f t="shared" si="0"/>
        <v>44</v>
      </c>
      <c r="B45" t="s">
        <v>18</v>
      </c>
      <c r="C45" t="s">
        <v>168</v>
      </c>
      <c r="D45" s="3" t="s">
        <v>94</v>
      </c>
      <c r="E45" s="1">
        <v>44197</v>
      </c>
      <c r="G45">
        <v>17</v>
      </c>
    </row>
    <row r="46" spans="1:7" x14ac:dyDescent="0.25">
      <c r="A46" s="2">
        <f t="shared" si="0"/>
        <v>45</v>
      </c>
      <c r="B46" t="s">
        <v>19</v>
      </c>
      <c r="C46" t="s">
        <v>169</v>
      </c>
      <c r="D46" s="3" t="s">
        <v>95</v>
      </c>
      <c r="E46" s="1">
        <v>44197</v>
      </c>
      <c r="G46">
        <v>18</v>
      </c>
    </row>
    <row r="47" spans="1:7" x14ac:dyDescent="0.25">
      <c r="A47" s="2">
        <f t="shared" si="0"/>
        <v>46</v>
      </c>
      <c r="B47" t="s">
        <v>20</v>
      </c>
      <c r="C47" t="s">
        <v>170</v>
      </c>
      <c r="D47" s="3" t="s">
        <v>13</v>
      </c>
      <c r="E47" s="1">
        <v>44197</v>
      </c>
      <c r="G47">
        <v>19</v>
      </c>
    </row>
    <row r="48" spans="1:7" x14ac:dyDescent="0.25">
      <c r="A48" s="2">
        <f t="shared" si="0"/>
        <v>47</v>
      </c>
      <c r="B48" t="s">
        <v>21</v>
      </c>
      <c r="C48" t="s">
        <v>171</v>
      </c>
      <c r="D48" s="3" t="s">
        <v>96</v>
      </c>
      <c r="E48" s="1">
        <v>44197</v>
      </c>
      <c r="G48">
        <v>20</v>
      </c>
    </row>
    <row r="49" spans="1:7" x14ac:dyDescent="0.25">
      <c r="A49" s="2">
        <f t="shared" si="0"/>
        <v>48</v>
      </c>
      <c r="B49" t="s">
        <v>99</v>
      </c>
      <c r="C49" t="s">
        <v>175</v>
      </c>
      <c r="D49" s="3" t="s">
        <v>98</v>
      </c>
      <c r="E49" s="1">
        <v>44197</v>
      </c>
      <c r="G49">
        <v>21</v>
      </c>
    </row>
    <row r="50" spans="1:7" x14ac:dyDescent="0.25">
      <c r="A50" s="2">
        <f t="shared" si="0"/>
        <v>49</v>
      </c>
      <c r="B50" t="s">
        <v>22</v>
      </c>
      <c r="C50" t="s">
        <v>172</v>
      </c>
      <c r="D50" s="3" t="s">
        <v>80</v>
      </c>
      <c r="E50" s="1">
        <v>44197</v>
      </c>
      <c r="G50">
        <v>24</v>
      </c>
    </row>
    <row r="51" spans="1:7" x14ac:dyDescent="0.25">
      <c r="A51" s="2">
        <f t="shared" si="0"/>
        <v>50</v>
      </c>
      <c r="B51" t="s">
        <v>24</v>
      </c>
      <c r="C51" t="s">
        <v>167</v>
      </c>
      <c r="D51" s="3" t="s">
        <v>100</v>
      </c>
      <c r="E51" s="1">
        <v>44197</v>
      </c>
      <c r="G51">
        <v>25</v>
      </c>
    </row>
    <row r="52" spans="1:7" x14ac:dyDescent="0.25">
      <c r="A52" s="2">
        <f t="shared" si="0"/>
        <v>51</v>
      </c>
      <c r="B52" t="s">
        <v>25</v>
      </c>
      <c r="C52" t="s">
        <v>168</v>
      </c>
      <c r="D52" s="4" t="s">
        <v>101</v>
      </c>
      <c r="E52" s="1">
        <v>44197</v>
      </c>
      <c r="G52">
        <v>26</v>
      </c>
    </row>
    <row r="53" spans="1:7" x14ac:dyDescent="0.25">
      <c r="A53" s="2">
        <f t="shared" si="0"/>
        <v>52</v>
      </c>
      <c r="B53" t="s">
        <v>26</v>
      </c>
      <c r="C53" t="s">
        <v>169</v>
      </c>
      <c r="D53" s="3" t="s">
        <v>81</v>
      </c>
      <c r="E53" s="1">
        <v>44197</v>
      </c>
      <c r="G53">
        <v>27</v>
      </c>
    </row>
    <row r="54" spans="1:7" x14ac:dyDescent="0.25">
      <c r="A54" s="2">
        <f t="shared" si="0"/>
        <v>53</v>
      </c>
      <c r="B54" t="s">
        <v>30</v>
      </c>
      <c r="C54" t="s">
        <v>173</v>
      </c>
      <c r="D54" s="3" t="s">
        <v>82</v>
      </c>
      <c r="E54" s="1">
        <v>44197</v>
      </c>
      <c r="G54">
        <v>30</v>
      </c>
    </row>
    <row r="55" spans="1:7" x14ac:dyDescent="0.25">
      <c r="A55" s="2">
        <f t="shared" si="0"/>
        <v>54</v>
      </c>
      <c r="B55" t="s">
        <v>32</v>
      </c>
      <c r="C55" t="s">
        <v>167</v>
      </c>
      <c r="D55" s="3" t="s">
        <v>102</v>
      </c>
      <c r="E55" s="1">
        <v>44197</v>
      </c>
      <c r="G55">
        <v>31</v>
      </c>
    </row>
    <row r="56" spans="1:7" x14ac:dyDescent="0.25">
      <c r="A56" s="2">
        <f t="shared" si="0"/>
        <v>55</v>
      </c>
      <c r="B56" t="s">
        <v>33</v>
      </c>
      <c r="C56" t="s">
        <v>168</v>
      </c>
      <c r="D56" s="3" t="s">
        <v>103</v>
      </c>
      <c r="E56" s="1">
        <v>44197</v>
      </c>
      <c r="G56">
        <v>32</v>
      </c>
    </row>
    <row r="57" spans="1:7" x14ac:dyDescent="0.25">
      <c r="A57" s="2">
        <f t="shared" si="0"/>
        <v>56</v>
      </c>
      <c r="B57" t="s">
        <v>34</v>
      </c>
      <c r="C57" t="s">
        <v>169</v>
      </c>
      <c r="D57" s="3" t="s">
        <v>104</v>
      </c>
      <c r="E57" s="1">
        <v>44197</v>
      </c>
      <c r="G57">
        <v>33</v>
      </c>
    </row>
    <row r="58" spans="1:7" x14ac:dyDescent="0.25">
      <c r="A58" s="2">
        <f t="shared" si="0"/>
        <v>57</v>
      </c>
      <c r="B58" t="s">
        <v>35</v>
      </c>
      <c r="C58" t="s">
        <v>170</v>
      </c>
      <c r="D58" s="3" t="s">
        <v>105</v>
      </c>
      <c r="E58" s="1">
        <v>44197</v>
      </c>
      <c r="G58">
        <v>34</v>
      </c>
    </row>
    <row r="59" spans="1:7" x14ac:dyDescent="0.25">
      <c r="A59" s="2">
        <f t="shared" si="0"/>
        <v>58</v>
      </c>
      <c r="B59" t="s">
        <v>36</v>
      </c>
      <c r="C59" t="s">
        <v>171</v>
      </c>
      <c r="D59" s="3" t="s">
        <v>98</v>
      </c>
      <c r="E59" s="1">
        <v>44197</v>
      </c>
      <c r="G59">
        <v>35</v>
      </c>
    </row>
    <row r="60" spans="1:7" x14ac:dyDescent="0.25">
      <c r="A60" s="2">
        <f t="shared" si="0"/>
        <v>59</v>
      </c>
      <c r="B60" t="s">
        <v>41</v>
      </c>
      <c r="C60" t="s">
        <v>174</v>
      </c>
      <c r="D60" s="3" t="s">
        <v>83</v>
      </c>
      <c r="E60" s="1">
        <v>44197</v>
      </c>
      <c r="G60">
        <v>38</v>
      </c>
    </row>
    <row r="61" spans="1:7" x14ac:dyDescent="0.25">
      <c r="A61" s="2">
        <f t="shared" si="0"/>
        <v>60</v>
      </c>
      <c r="B61" t="s">
        <v>43</v>
      </c>
      <c r="C61" t="s">
        <v>167</v>
      </c>
      <c r="D61" s="3" t="s">
        <v>106</v>
      </c>
      <c r="E61" s="1">
        <v>44197</v>
      </c>
      <c r="G61">
        <v>39</v>
      </c>
    </row>
    <row r="62" spans="1:7" x14ac:dyDescent="0.25">
      <c r="A62" s="2">
        <f t="shared" si="0"/>
        <v>61</v>
      </c>
      <c r="B62" t="s">
        <v>44</v>
      </c>
      <c r="C62" t="s">
        <v>168</v>
      </c>
      <c r="D62" s="3" t="s">
        <v>107</v>
      </c>
      <c r="E62" s="1">
        <v>44197</v>
      </c>
      <c r="G62">
        <v>40</v>
      </c>
    </row>
    <row r="63" spans="1:7" x14ac:dyDescent="0.25">
      <c r="A63" s="2">
        <f t="shared" si="0"/>
        <v>62</v>
      </c>
      <c r="B63" t="s">
        <v>135</v>
      </c>
      <c r="D63" s="1" t="s">
        <v>136</v>
      </c>
      <c r="E63" s="1">
        <v>44197</v>
      </c>
    </row>
    <row r="64" spans="1:7" x14ac:dyDescent="0.25">
      <c r="A64" s="2">
        <f t="shared" si="0"/>
        <v>63</v>
      </c>
      <c r="B64" t="s">
        <v>137</v>
      </c>
      <c r="D64" s="9" t="s">
        <v>138</v>
      </c>
      <c r="E64" s="1">
        <v>44197</v>
      </c>
    </row>
    <row r="65" spans="1:7" x14ac:dyDescent="0.25">
      <c r="A65" s="2">
        <f t="shared" si="0"/>
        <v>64</v>
      </c>
      <c r="B65" t="s">
        <v>116</v>
      </c>
      <c r="D65" s="3" t="s">
        <v>117</v>
      </c>
      <c r="E65" s="1">
        <v>44197</v>
      </c>
    </row>
    <row r="66" spans="1:7" x14ac:dyDescent="0.25">
      <c r="A66" s="2">
        <f t="shared" si="0"/>
        <v>65</v>
      </c>
      <c r="B66" t="s">
        <v>118</v>
      </c>
      <c r="D66" s="3" t="s">
        <v>119</v>
      </c>
      <c r="E66" s="1">
        <v>44197</v>
      </c>
    </row>
    <row r="67" spans="1:7" x14ac:dyDescent="0.25">
      <c r="A67" s="2">
        <f t="shared" si="0"/>
        <v>66</v>
      </c>
      <c r="B67" t="s">
        <v>120</v>
      </c>
      <c r="D67" s="3" t="s">
        <v>122</v>
      </c>
      <c r="E67" s="1">
        <v>44197</v>
      </c>
    </row>
    <row r="68" spans="1:7" x14ac:dyDescent="0.25">
      <c r="A68" s="2">
        <f t="shared" si="0"/>
        <v>67</v>
      </c>
      <c r="B68" t="s">
        <v>121</v>
      </c>
      <c r="D68" s="3" t="s">
        <v>123</v>
      </c>
      <c r="E68" s="1">
        <v>44197</v>
      </c>
    </row>
    <row r="69" spans="1:7" x14ac:dyDescent="0.25">
      <c r="A69" s="2">
        <f t="shared" ref="A69:A70" si="1">A68+1</f>
        <v>68</v>
      </c>
      <c r="B69" t="s">
        <v>140</v>
      </c>
      <c r="D69" s="3" t="s">
        <v>139</v>
      </c>
      <c r="E69" s="1">
        <v>44197</v>
      </c>
    </row>
    <row r="70" spans="1:7" x14ac:dyDescent="0.25">
      <c r="A70" s="2">
        <f t="shared" si="1"/>
        <v>69</v>
      </c>
      <c r="B70" t="s">
        <v>141</v>
      </c>
      <c r="C70">
        <v>10</v>
      </c>
      <c r="D70" s="3" t="s">
        <v>133</v>
      </c>
      <c r="E70" s="1">
        <v>44197</v>
      </c>
      <c r="G70">
        <v>13</v>
      </c>
    </row>
    <row r="71" spans="1:7" x14ac:dyDescent="0.25">
      <c r="A71" s="2">
        <f t="shared" ref="A71:A83" si="2">A70+1</f>
        <v>70</v>
      </c>
      <c r="B71" t="s">
        <v>142</v>
      </c>
      <c r="C71">
        <v>6</v>
      </c>
      <c r="D71" s="3" t="s">
        <v>133</v>
      </c>
      <c r="E71" s="1">
        <v>44197</v>
      </c>
      <c r="G71">
        <v>22</v>
      </c>
    </row>
    <row r="72" spans="1:7" x14ac:dyDescent="0.25">
      <c r="A72" s="2">
        <f t="shared" si="2"/>
        <v>71</v>
      </c>
      <c r="B72" t="s">
        <v>143</v>
      </c>
      <c r="C72">
        <v>3</v>
      </c>
      <c r="D72" s="3" t="s">
        <v>133</v>
      </c>
      <c r="E72" s="1">
        <v>44197</v>
      </c>
      <c r="G72">
        <v>28</v>
      </c>
    </row>
    <row r="73" spans="1:7" x14ac:dyDescent="0.25">
      <c r="A73" s="2">
        <f t="shared" si="2"/>
        <v>72</v>
      </c>
      <c r="B73" t="s">
        <v>144</v>
      </c>
      <c r="C73">
        <v>5</v>
      </c>
      <c r="D73" s="3" t="s">
        <v>133</v>
      </c>
      <c r="E73" s="1">
        <v>44197</v>
      </c>
      <c r="G73">
        <v>36</v>
      </c>
    </row>
    <row r="74" spans="1:7" x14ac:dyDescent="0.25">
      <c r="A74" s="2">
        <f t="shared" si="2"/>
        <v>73</v>
      </c>
      <c r="B74" t="s">
        <v>145</v>
      </c>
      <c r="C74">
        <v>5</v>
      </c>
      <c r="D74" s="3" t="s">
        <v>133</v>
      </c>
      <c r="E74" s="1">
        <v>44197</v>
      </c>
      <c r="G74">
        <v>44</v>
      </c>
    </row>
    <row r="75" spans="1:7" x14ac:dyDescent="0.25">
      <c r="A75" s="2">
        <f t="shared" si="2"/>
        <v>74</v>
      </c>
      <c r="B75" t="s">
        <v>146</v>
      </c>
      <c r="C75">
        <v>10</v>
      </c>
      <c r="D75" s="3" t="s">
        <v>133</v>
      </c>
      <c r="E75" s="1">
        <v>44197</v>
      </c>
      <c r="G75">
        <v>13</v>
      </c>
    </row>
    <row r="76" spans="1:7" x14ac:dyDescent="0.25">
      <c r="A76" s="2">
        <f t="shared" si="2"/>
        <v>75</v>
      </c>
      <c r="B76" t="s">
        <v>147</v>
      </c>
      <c r="D76" s="3" t="s">
        <v>152</v>
      </c>
      <c r="E76" s="1">
        <v>44197</v>
      </c>
      <c r="G76">
        <v>14</v>
      </c>
    </row>
    <row r="77" spans="1:7" x14ac:dyDescent="0.25">
      <c r="A77" s="2">
        <f t="shared" si="2"/>
        <v>76</v>
      </c>
      <c r="B77" t="s">
        <v>148</v>
      </c>
      <c r="C77">
        <v>6</v>
      </c>
      <c r="D77" s="3" t="s">
        <v>133</v>
      </c>
      <c r="E77" s="1">
        <v>44197</v>
      </c>
      <c r="G77">
        <v>22</v>
      </c>
    </row>
    <row r="78" spans="1:7" x14ac:dyDescent="0.25">
      <c r="A78" s="2">
        <f t="shared" si="2"/>
        <v>77</v>
      </c>
      <c r="B78" t="s">
        <v>149</v>
      </c>
      <c r="D78" s="3" t="s">
        <v>153</v>
      </c>
      <c r="E78" s="1">
        <v>44197</v>
      </c>
      <c r="G78">
        <v>23</v>
      </c>
    </row>
    <row r="79" spans="1:7" x14ac:dyDescent="0.25">
      <c r="A79" s="2">
        <f t="shared" si="2"/>
        <v>78</v>
      </c>
      <c r="B79" t="s">
        <v>150</v>
      </c>
      <c r="C79">
        <v>3</v>
      </c>
      <c r="D79" s="3" t="s">
        <v>133</v>
      </c>
      <c r="E79" s="1">
        <v>44197</v>
      </c>
      <c r="G79">
        <v>28</v>
      </c>
    </row>
    <row r="80" spans="1:7" x14ac:dyDescent="0.25">
      <c r="A80" s="2">
        <f t="shared" si="2"/>
        <v>79</v>
      </c>
      <c r="B80" t="s">
        <v>154</v>
      </c>
      <c r="D80" s="3" t="s">
        <v>155</v>
      </c>
      <c r="E80" s="1">
        <v>44197</v>
      </c>
      <c r="G80">
        <v>29</v>
      </c>
    </row>
    <row r="81" spans="1:7" x14ac:dyDescent="0.25">
      <c r="A81" s="2">
        <f t="shared" si="2"/>
        <v>80</v>
      </c>
      <c r="B81" t="s">
        <v>156</v>
      </c>
      <c r="C81">
        <v>5</v>
      </c>
      <c r="D81" s="3" t="s">
        <v>133</v>
      </c>
      <c r="E81" s="1">
        <v>44197</v>
      </c>
      <c r="G81">
        <v>36</v>
      </c>
    </row>
    <row r="82" spans="1:7" x14ac:dyDescent="0.25">
      <c r="A82" s="2">
        <f t="shared" si="2"/>
        <v>81</v>
      </c>
      <c r="B82" t="s">
        <v>157</v>
      </c>
      <c r="D82" s="3" t="s">
        <v>151</v>
      </c>
      <c r="E82" s="1">
        <v>44197</v>
      </c>
      <c r="G82">
        <v>37</v>
      </c>
    </row>
    <row r="83" spans="1:7" x14ac:dyDescent="0.25">
      <c r="A83" s="2">
        <f t="shared" si="2"/>
        <v>82</v>
      </c>
      <c r="B83" t="s">
        <v>158</v>
      </c>
      <c r="C83">
        <v>5</v>
      </c>
      <c r="D83" s="3" t="s">
        <v>133</v>
      </c>
      <c r="E83" s="1">
        <v>44197</v>
      </c>
      <c r="G83">
        <v>44</v>
      </c>
    </row>
    <row r="84" spans="1:7" x14ac:dyDescent="0.25">
      <c r="A84" s="2">
        <f t="shared" ref="A84:A86" si="3">A83+1</f>
        <v>83</v>
      </c>
      <c r="B84" t="s">
        <v>159</v>
      </c>
      <c r="D84" s="3" t="s">
        <v>160</v>
      </c>
      <c r="E84" s="1">
        <v>44197</v>
      </c>
      <c r="G84">
        <v>45</v>
      </c>
    </row>
    <row r="85" spans="1:7" x14ac:dyDescent="0.25">
      <c r="A85" s="2">
        <f t="shared" si="3"/>
        <v>84</v>
      </c>
      <c r="B85" t="s">
        <v>161</v>
      </c>
      <c r="D85" s="3" t="s">
        <v>162</v>
      </c>
      <c r="E85" s="1">
        <v>44197</v>
      </c>
      <c r="G85">
        <v>46</v>
      </c>
    </row>
    <row r="86" spans="1:7" x14ac:dyDescent="0.25">
      <c r="A86" s="2">
        <f t="shared" si="3"/>
        <v>85</v>
      </c>
      <c r="B86" t="s">
        <v>164</v>
      </c>
      <c r="D86" s="3" t="s">
        <v>163</v>
      </c>
      <c r="E86" s="1">
        <v>44197</v>
      </c>
      <c r="G86">
        <v>47</v>
      </c>
    </row>
    <row r="87" spans="1:7" x14ac:dyDescent="0.25">
      <c r="A87" s="2">
        <v>86</v>
      </c>
      <c r="B87" t="s">
        <v>185</v>
      </c>
      <c r="D87" s="3" t="s">
        <v>186</v>
      </c>
      <c r="E87" s="1">
        <v>44197</v>
      </c>
    </row>
    <row r="88" spans="1:7" x14ac:dyDescent="0.25">
      <c r="E88" s="1"/>
    </row>
    <row r="89" spans="1:7" x14ac:dyDescent="0.25">
      <c r="E89" s="1"/>
    </row>
    <row r="90" spans="1:7" x14ac:dyDescent="0.25">
      <c r="E90" s="1"/>
    </row>
    <row r="91" spans="1:7" x14ac:dyDescent="0.25">
      <c r="E91" s="1"/>
    </row>
    <row r="92" spans="1:7" x14ac:dyDescent="0.25">
      <c r="E92" s="1"/>
    </row>
    <row r="93" spans="1:7" x14ac:dyDescent="0.25">
      <c r="E93" s="1"/>
    </row>
    <row r="94" spans="1:7" x14ac:dyDescent="0.25">
      <c r="E94" s="1"/>
    </row>
    <row r="95" spans="1:7" x14ac:dyDescent="0.25">
      <c r="E95" s="1"/>
    </row>
    <row r="96" spans="1:7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</sheetData>
  <dataConsolidate link="1"/>
  <dataValidations count="3">
    <dataValidation type="custom" errorStyle="warning" allowBlank="1" showInputMessage="1" showErrorMessage="1" error="non univoco_x000a_" sqref="A1:A86">
      <formula1>COUNTIF(A$3:A$1013,#REF!)&lt;2</formula1>
    </dataValidation>
    <dataValidation type="custom" allowBlank="1" showInputMessage="1" showErrorMessage="1" sqref="C1 B1:B80 C87:C1048576 B84:B1048576">
      <formula1>COUNTIF(B$3:B$1013,B1)&lt;2</formula1>
    </dataValidation>
    <dataValidation type="custom" errorStyle="warning" allowBlank="1" showInputMessage="1" showErrorMessage="1" error="non univoco_x000a_" sqref="A87:A1048576">
      <formula1>COUNTIF(A$3:A$1013,A86)&lt;2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1500"/>
  <sheetViews>
    <sheetView tabSelected="1" zoomScale="150" workbookViewId="0">
      <selection activeCell="C24" sqref="C24"/>
    </sheetView>
  </sheetViews>
  <sheetFormatPr defaultRowHeight="15" x14ac:dyDescent="0.25"/>
  <cols>
    <col min="1" max="1" width="11.28515625" style="6" bestFit="1" customWidth="1"/>
    <col min="2" max="2" width="11.85546875" customWidth="1"/>
    <col min="3" max="3" width="16.140625" customWidth="1"/>
    <col min="4" max="4" width="52.5703125" bestFit="1" customWidth="1"/>
    <col min="5" max="5" width="10.42578125" bestFit="1" customWidth="1"/>
    <col min="6" max="6" width="5.85546875" bestFit="1" customWidth="1"/>
    <col min="7" max="7" width="11.5703125" style="7" bestFit="1" customWidth="1"/>
    <col min="8" max="8" width="18.5703125" bestFit="1" customWidth="1"/>
  </cols>
  <sheetData>
    <row r="1" spans="1:8" x14ac:dyDescent="0.25">
      <c r="A1" s="6" t="s">
        <v>108</v>
      </c>
      <c r="B1" t="s">
        <v>1</v>
      </c>
      <c r="C1" t="s">
        <v>181</v>
      </c>
      <c r="D1" t="s">
        <v>182</v>
      </c>
      <c r="E1" t="s">
        <v>109</v>
      </c>
      <c r="F1" t="s">
        <v>110</v>
      </c>
      <c r="G1" t="s">
        <v>124</v>
      </c>
      <c r="H1" t="s">
        <v>115</v>
      </c>
    </row>
    <row r="2" spans="1:8" x14ac:dyDescent="0.25">
      <c r="A2" s="6">
        <v>43831</v>
      </c>
      <c r="B2" t="s">
        <v>130</v>
      </c>
      <c r="C2" t="s">
        <v>116</v>
      </c>
      <c r="D2" t="s">
        <v>117</v>
      </c>
      <c r="E2">
        <v>2</v>
      </c>
      <c r="F2" t="s">
        <v>111</v>
      </c>
      <c r="G2">
        <f>SUMIF(INDEX(Tabella2[Tipo],1):Tabella2[[#This Row],[Tipo]],Tabella2[[#This Row],[Tipo]],INDEX(Tabella2[Importo],1):Tabella2[[#This Row],[Importo]])</f>
        <v>2</v>
      </c>
    </row>
    <row r="3" spans="1:8" x14ac:dyDescent="0.25">
      <c r="C3" t="s">
        <v>33</v>
      </c>
      <c r="D3" t="s">
        <v>103</v>
      </c>
      <c r="E3">
        <v>123</v>
      </c>
      <c r="F3" t="s">
        <v>111</v>
      </c>
      <c r="G3" s="7">
        <f>SUMIF(INDEX(Tabella2[Tipo],1):Tabella2[[#This Row],[Tipo]],Tabella2[[#This Row],[Tipo]],INDEX(Tabella2[Importo],1):Tabella2[[#This Row],[Importo]])</f>
        <v>125</v>
      </c>
    </row>
    <row r="4" spans="1:8" x14ac:dyDescent="0.25">
      <c r="B4">
        <v>2</v>
      </c>
      <c r="C4" t="s">
        <v>5</v>
      </c>
      <c r="D4" t="s">
        <v>84</v>
      </c>
      <c r="E4">
        <v>1</v>
      </c>
      <c r="F4" t="s">
        <v>111</v>
      </c>
      <c r="G4" s="7">
        <f>SUMIF(INDEX(Tabella2[Tipo],1):Tabella2[[#This Row],[Tipo]],Tabella2[[#This Row],[Tipo]],INDEX(Tabella2[Importo],1):Tabella2[[#This Row],[Importo]])</f>
        <v>126</v>
      </c>
    </row>
    <row r="5" spans="1:8" x14ac:dyDescent="0.25">
      <c r="C5" t="s">
        <v>18</v>
      </c>
      <c r="D5" t="s">
        <v>94</v>
      </c>
      <c r="E5">
        <v>2</v>
      </c>
      <c r="F5" t="s">
        <v>111</v>
      </c>
      <c r="G5" s="7">
        <f>SUMIF(INDEX(Tabella2[Tipo],1):Tabella2[[#This Row],[Tipo]],Tabella2[[#This Row],[Tipo]],INDEX(Tabella2[Importo],1):Tabella2[[#This Row],[Importo]])</f>
        <v>128</v>
      </c>
    </row>
    <row r="6" spans="1:8" x14ac:dyDescent="0.25">
      <c r="C6" t="s">
        <v>99</v>
      </c>
      <c r="D6" t="s">
        <v>98</v>
      </c>
      <c r="E6">
        <v>3</v>
      </c>
      <c r="F6" t="s">
        <v>111</v>
      </c>
      <c r="G6" s="7">
        <f>SUMIF(INDEX(Tabella2[Tipo],1):Tabella2[[#This Row],[Tipo]],Tabella2[[#This Row],[Tipo]],INDEX(Tabella2[Importo],1):Tabella2[[#This Row],[Importo]])</f>
        <v>131</v>
      </c>
    </row>
    <row r="7" spans="1:8" x14ac:dyDescent="0.25">
      <c r="C7" t="s">
        <v>5</v>
      </c>
      <c r="D7" t="s">
        <v>84</v>
      </c>
      <c r="E7">
        <v>4</v>
      </c>
      <c r="F7" t="s">
        <v>111</v>
      </c>
      <c r="G7" s="7">
        <f>SUMIF(INDEX(Tabella2[Tipo],1):Tabella2[[#This Row],[Tipo]],Tabella2[[#This Row],[Tipo]],INDEX(Tabella2[Importo],1):Tabella2[[#This Row],[Importo]])</f>
        <v>135</v>
      </c>
    </row>
    <row r="8" spans="1:8" x14ac:dyDescent="0.25">
      <c r="C8" t="s">
        <v>49</v>
      </c>
      <c r="D8" t="s">
        <v>132</v>
      </c>
      <c r="E8">
        <v>5</v>
      </c>
      <c r="F8" t="s">
        <v>111</v>
      </c>
      <c r="G8" s="7">
        <f>SUMIF(INDEX(Tabella2[Tipo],1):Tabella2[[#This Row],[Tipo]],Tabella2[[#This Row],[Tipo]],INDEX(Tabella2[Importo],1):Tabella2[[#This Row],[Importo]])</f>
        <v>140</v>
      </c>
    </row>
    <row r="9" spans="1:8" x14ac:dyDescent="0.25">
      <c r="C9" t="s">
        <v>9</v>
      </c>
      <c r="D9" t="s">
        <v>86</v>
      </c>
      <c r="E9">
        <v>6</v>
      </c>
      <c r="F9" t="s">
        <v>111</v>
      </c>
      <c r="G9" s="7">
        <f>SUMIF(INDEX(Tabella2[Tipo],1):Tabella2[[#This Row],[Tipo]],Tabella2[[#This Row],[Tipo]],INDEX(Tabella2[Importo],1):Tabella2[[#This Row],[Importo]])</f>
        <v>146</v>
      </c>
    </row>
    <row r="10" spans="1:8" x14ac:dyDescent="0.25">
      <c r="C10" t="s">
        <v>12</v>
      </c>
      <c r="D10" t="s">
        <v>88</v>
      </c>
      <c r="E10">
        <v>7</v>
      </c>
      <c r="F10" t="s">
        <v>111</v>
      </c>
      <c r="G10" s="7">
        <f>SUMIF(INDEX(Tabella2[Tipo],1):Tabella2[[#This Row],[Tipo]],Tabella2[[#This Row],[Tipo]],INDEX(Tabella2[Importo],1):Tabella2[[#This Row],[Importo]])</f>
        <v>153</v>
      </c>
    </row>
    <row r="11" spans="1:8" x14ac:dyDescent="0.25">
      <c r="C11" t="s">
        <v>48</v>
      </c>
      <c r="D11" t="s">
        <v>131</v>
      </c>
      <c r="E11">
        <v>2</v>
      </c>
      <c r="F11" t="s">
        <v>111</v>
      </c>
      <c r="G11" s="7">
        <f>SUMIF(INDEX(Tabella2[Tipo],1):Tabella2[[#This Row],[Tipo]],Tabella2[[#This Row],[Tipo]],INDEX(Tabella2[Importo],1):Tabella2[[#This Row],[Importo]])</f>
        <v>155</v>
      </c>
    </row>
    <row r="12" spans="1:8" x14ac:dyDescent="0.25">
      <c r="C12" t="s">
        <v>93</v>
      </c>
      <c r="D12" t="s">
        <v>98</v>
      </c>
      <c r="E12">
        <v>5</v>
      </c>
      <c r="F12" t="s">
        <v>111</v>
      </c>
      <c r="G12" s="7">
        <f>SUMIF(INDEX(Tabella2[Tipo],1):Tabella2[[#This Row],[Tipo]],Tabella2[[#This Row],[Tipo]],INDEX(Tabella2[Importo],1):Tabella2[[#This Row],[Importo]])</f>
        <v>160</v>
      </c>
    </row>
    <row r="13" spans="1:8" x14ac:dyDescent="0.25">
      <c r="C13" t="s">
        <v>185</v>
      </c>
      <c r="D13" t="s">
        <v>186</v>
      </c>
      <c r="E13">
        <v>7</v>
      </c>
      <c r="F13" t="s">
        <v>111</v>
      </c>
      <c r="G13" s="7">
        <f>SUMIF(INDEX(Tabella2[Tipo],1):Tabella2[[#This Row],[Tipo]],Tabella2[[#This Row],[Tipo]],INDEX(Tabella2[Importo],1):Tabella2[[#This Row],[Importo]])</f>
        <v>167</v>
      </c>
    </row>
    <row r="1000" spans="1:7" x14ac:dyDescent="0.25">
      <c r="A1000"/>
      <c r="G1000"/>
    </row>
    <row r="1001" spans="1:7" x14ac:dyDescent="0.25">
      <c r="A1001"/>
      <c r="G1001"/>
    </row>
    <row r="1002" spans="1:7" x14ac:dyDescent="0.25">
      <c r="A1002"/>
      <c r="G1002"/>
    </row>
    <row r="1003" spans="1:7" x14ac:dyDescent="0.25">
      <c r="A1003"/>
      <c r="G1003"/>
    </row>
    <row r="1004" spans="1:7" x14ac:dyDescent="0.25">
      <c r="A1004"/>
      <c r="G1004"/>
    </row>
    <row r="1005" spans="1:7" x14ac:dyDescent="0.25">
      <c r="A1005"/>
      <c r="G1005"/>
    </row>
    <row r="1006" spans="1:7" x14ac:dyDescent="0.25">
      <c r="A1006"/>
      <c r="G1006"/>
    </row>
    <row r="1007" spans="1:7" x14ac:dyDescent="0.25">
      <c r="A1007"/>
      <c r="G1007"/>
    </row>
    <row r="1008" spans="1:7" x14ac:dyDescent="0.25">
      <c r="A1008"/>
      <c r="G1008"/>
    </row>
    <row r="1009" spans="1:7" x14ac:dyDescent="0.25">
      <c r="A1009"/>
      <c r="G1009"/>
    </row>
    <row r="1010" spans="1:7" x14ac:dyDescent="0.25">
      <c r="A1010"/>
      <c r="G1010"/>
    </row>
    <row r="1011" spans="1:7" x14ac:dyDescent="0.25">
      <c r="A1011"/>
      <c r="G1011"/>
    </row>
    <row r="1012" spans="1:7" x14ac:dyDescent="0.25">
      <c r="A1012"/>
      <c r="G1012"/>
    </row>
    <row r="1013" spans="1:7" x14ac:dyDescent="0.25">
      <c r="A1013"/>
      <c r="G1013"/>
    </row>
    <row r="1014" spans="1:7" x14ac:dyDescent="0.25">
      <c r="A1014"/>
      <c r="G1014"/>
    </row>
    <row r="1015" spans="1:7" x14ac:dyDescent="0.25">
      <c r="A1015"/>
      <c r="G1015"/>
    </row>
    <row r="1016" spans="1:7" x14ac:dyDescent="0.25">
      <c r="A1016"/>
      <c r="G1016"/>
    </row>
    <row r="1017" spans="1:7" x14ac:dyDescent="0.25">
      <c r="A1017"/>
      <c r="G1017"/>
    </row>
    <row r="1018" spans="1:7" x14ac:dyDescent="0.25">
      <c r="A1018"/>
      <c r="G1018"/>
    </row>
    <row r="1019" spans="1:7" x14ac:dyDescent="0.25">
      <c r="A1019"/>
      <c r="G1019"/>
    </row>
    <row r="1020" spans="1:7" x14ac:dyDescent="0.25">
      <c r="A1020"/>
      <c r="G1020"/>
    </row>
    <row r="1021" spans="1:7" x14ac:dyDescent="0.25">
      <c r="A1021"/>
      <c r="G1021"/>
    </row>
    <row r="1022" spans="1:7" x14ac:dyDescent="0.25">
      <c r="A1022"/>
      <c r="G1022"/>
    </row>
    <row r="1023" spans="1:7" x14ac:dyDescent="0.25">
      <c r="A1023"/>
      <c r="G1023"/>
    </row>
    <row r="1024" spans="1:7" x14ac:dyDescent="0.25">
      <c r="A1024"/>
      <c r="G1024"/>
    </row>
    <row r="1025" spans="1:7" x14ac:dyDescent="0.25">
      <c r="A1025"/>
      <c r="G1025"/>
    </row>
    <row r="1026" spans="1:7" x14ac:dyDescent="0.25">
      <c r="A1026"/>
      <c r="G1026"/>
    </row>
    <row r="1027" spans="1:7" x14ac:dyDescent="0.25">
      <c r="A1027"/>
      <c r="G1027"/>
    </row>
    <row r="1028" spans="1:7" x14ac:dyDescent="0.25">
      <c r="A1028"/>
      <c r="G1028"/>
    </row>
    <row r="1029" spans="1:7" x14ac:dyDescent="0.25">
      <c r="A1029"/>
      <c r="G1029"/>
    </row>
    <row r="1030" spans="1:7" x14ac:dyDescent="0.25">
      <c r="A1030"/>
      <c r="G1030"/>
    </row>
    <row r="1031" spans="1:7" x14ac:dyDescent="0.25">
      <c r="A1031"/>
      <c r="G1031"/>
    </row>
    <row r="1032" spans="1:7" x14ac:dyDescent="0.25">
      <c r="A1032"/>
      <c r="G1032"/>
    </row>
    <row r="1033" spans="1:7" x14ac:dyDescent="0.25">
      <c r="A1033"/>
      <c r="G1033"/>
    </row>
    <row r="1034" spans="1:7" x14ac:dyDescent="0.25">
      <c r="A1034"/>
      <c r="G1034"/>
    </row>
    <row r="1035" spans="1:7" x14ac:dyDescent="0.25">
      <c r="A1035"/>
      <c r="G1035"/>
    </row>
    <row r="1036" spans="1:7" x14ac:dyDescent="0.25">
      <c r="A1036"/>
      <c r="G1036"/>
    </row>
    <row r="1037" spans="1:7" x14ac:dyDescent="0.25">
      <c r="A1037"/>
      <c r="G1037"/>
    </row>
    <row r="1038" spans="1:7" x14ac:dyDescent="0.25">
      <c r="A1038"/>
      <c r="G1038"/>
    </row>
    <row r="1039" spans="1:7" x14ac:dyDescent="0.25">
      <c r="A1039"/>
      <c r="G1039"/>
    </row>
    <row r="1040" spans="1:7" x14ac:dyDescent="0.25">
      <c r="A1040"/>
      <c r="G1040"/>
    </row>
    <row r="1041" spans="1:7" x14ac:dyDescent="0.25">
      <c r="A1041"/>
      <c r="G1041"/>
    </row>
    <row r="1042" spans="1:7" x14ac:dyDescent="0.25">
      <c r="A1042"/>
      <c r="G1042"/>
    </row>
    <row r="1043" spans="1:7" x14ac:dyDescent="0.25">
      <c r="A1043"/>
      <c r="G1043"/>
    </row>
    <row r="1044" spans="1:7" x14ac:dyDescent="0.25">
      <c r="A1044"/>
      <c r="G1044"/>
    </row>
    <row r="1045" spans="1:7" x14ac:dyDescent="0.25">
      <c r="A1045"/>
      <c r="G1045"/>
    </row>
    <row r="1046" spans="1:7" x14ac:dyDescent="0.25">
      <c r="A1046"/>
      <c r="G1046"/>
    </row>
    <row r="1047" spans="1:7" x14ac:dyDescent="0.25">
      <c r="A1047"/>
      <c r="G1047"/>
    </row>
    <row r="1048" spans="1:7" x14ac:dyDescent="0.25">
      <c r="A1048"/>
      <c r="G1048"/>
    </row>
    <row r="1049" spans="1:7" x14ac:dyDescent="0.25">
      <c r="A1049"/>
      <c r="G1049"/>
    </row>
    <row r="1050" spans="1:7" x14ac:dyDescent="0.25">
      <c r="A1050"/>
      <c r="G1050"/>
    </row>
    <row r="1051" spans="1:7" x14ac:dyDescent="0.25">
      <c r="A1051"/>
      <c r="G1051"/>
    </row>
    <row r="1052" spans="1:7" x14ac:dyDescent="0.25">
      <c r="A1052"/>
      <c r="G1052"/>
    </row>
    <row r="1053" spans="1:7" x14ac:dyDescent="0.25">
      <c r="A1053"/>
      <c r="G1053"/>
    </row>
    <row r="1054" spans="1:7" x14ac:dyDescent="0.25">
      <c r="A1054"/>
      <c r="G1054"/>
    </row>
    <row r="1055" spans="1:7" x14ac:dyDescent="0.25">
      <c r="A1055"/>
      <c r="G1055"/>
    </row>
    <row r="1056" spans="1:7" x14ac:dyDescent="0.25">
      <c r="A1056"/>
      <c r="G1056"/>
    </row>
    <row r="1057" spans="1:7" x14ac:dyDescent="0.25">
      <c r="A1057"/>
      <c r="G1057"/>
    </row>
    <row r="1058" spans="1:7" x14ac:dyDescent="0.25">
      <c r="A1058"/>
      <c r="G1058"/>
    </row>
    <row r="1059" spans="1:7" x14ac:dyDescent="0.25">
      <c r="A1059"/>
      <c r="G1059"/>
    </row>
    <row r="1060" spans="1:7" x14ac:dyDescent="0.25">
      <c r="A1060"/>
      <c r="G1060"/>
    </row>
    <row r="1061" spans="1:7" x14ac:dyDescent="0.25">
      <c r="A1061"/>
      <c r="G1061"/>
    </row>
    <row r="1062" spans="1:7" x14ac:dyDescent="0.25">
      <c r="A1062"/>
      <c r="G1062"/>
    </row>
    <row r="1063" spans="1:7" x14ac:dyDescent="0.25">
      <c r="A1063"/>
      <c r="G1063"/>
    </row>
    <row r="1064" spans="1:7" x14ac:dyDescent="0.25">
      <c r="A1064"/>
      <c r="G1064"/>
    </row>
    <row r="1065" spans="1:7" x14ac:dyDescent="0.25">
      <c r="A1065"/>
      <c r="G1065"/>
    </row>
    <row r="1066" spans="1:7" x14ac:dyDescent="0.25">
      <c r="A1066"/>
      <c r="G1066"/>
    </row>
    <row r="1067" spans="1:7" x14ac:dyDescent="0.25">
      <c r="A1067"/>
      <c r="G1067"/>
    </row>
    <row r="1068" spans="1:7" x14ac:dyDescent="0.25">
      <c r="A1068"/>
      <c r="G1068"/>
    </row>
    <row r="1069" spans="1:7" x14ac:dyDescent="0.25">
      <c r="A1069"/>
      <c r="G1069"/>
    </row>
    <row r="1070" spans="1:7" x14ac:dyDescent="0.25">
      <c r="A1070"/>
      <c r="G1070"/>
    </row>
    <row r="1071" spans="1:7" x14ac:dyDescent="0.25">
      <c r="A1071"/>
      <c r="G1071"/>
    </row>
    <row r="1072" spans="1:7" x14ac:dyDescent="0.25">
      <c r="A1072"/>
      <c r="G1072"/>
    </row>
    <row r="1073" spans="1:7" x14ac:dyDescent="0.25">
      <c r="A1073"/>
      <c r="G1073"/>
    </row>
    <row r="1074" spans="1:7" x14ac:dyDescent="0.25">
      <c r="A1074"/>
      <c r="G1074"/>
    </row>
    <row r="1075" spans="1:7" x14ac:dyDescent="0.25">
      <c r="A1075"/>
      <c r="G1075"/>
    </row>
    <row r="1076" spans="1:7" x14ac:dyDescent="0.25">
      <c r="A1076"/>
      <c r="G1076"/>
    </row>
    <row r="1077" spans="1:7" x14ac:dyDescent="0.25">
      <c r="A1077"/>
      <c r="G1077"/>
    </row>
    <row r="1078" spans="1:7" x14ac:dyDescent="0.25">
      <c r="A1078"/>
      <c r="G1078"/>
    </row>
    <row r="1079" spans="1:7" x14ac:dyDescent="0.25">
      <c r="A1079"/>
      <c r="G1079"/>
    </row>
    <row r="1080" spans="1:7" x14ac:dyDescent="0.25">
      <c r="A1080"/>
      <c r="G1080"/>
    </row>
    <row r="1081" spans="1:7" x14ac:dyDescent="0.25">
      <c r="A1081"/>
      <c r="G1081"/>
    </row>
    <row r="1082" spans="1:7" x14ac:dyDescent="0.25">
      <c r="A1082"/>
      <c r="G1082"/>
    </row>
    <row r="1083" spans="1:7" x14ac:dyDescent="0.25">
      <c r="A1083"/>
      <c r="G1083"/>
    </row>
    <row r="1084" spans="1:7" x14ac:dyDescent="0.25">
      <c r="A1084"/>
      <c r="G1084"/>
    </row>
    <row r="1085" spans="1:7" x14ac:dyDescent="0.25">
      <c r="A1085"/>
      <c r="G1085"/>
    </row>
    <row r="1086" spans="1:7" x14ac:dyDescent="0.25">
      <c r="A1086"/>
      <c r="G1086"/>
    </row>
    <row r="1087" spans="1:7" x14ac:dyDescent="0.25">
      <c r="A1087"/>
      <c r="G1087"/>
    </row>
    <row r="1088" spans="1:7" x14ac:dyDescent="0.25">
      <c r="A1088"/>
      <c r="G1088"/>
    </row>
    <row r="1089" spans="1:7" x14ac:dyDescent="0.25">
      <c r="A1089"/>
      <c r="G1089"/>
    </row>
    <row r="1090" spans="1:7" x14ac:dyDescent="0.25">
      <c r="A1090"/>
      <c r="G1090"/>
    </row>
    <row r="1091" spans="1:7" x14ac:dyDescent="0.25">
      <c r="A1091"/>
      <c r="G1091"/>
    </row>
    <row r="1092" spans="1:7" x14ac:dyDescent="0.25">
      <c r="A1092"/>
      <c r="G1092"/>
    </row>
    <row r="1093" spans="1:7" x14ac:dyDescent="0.25">
      <c r="A1093"/>
      <c r="G1093"/>
    </row>
    <row r="1094" spans="1:7" x14ac:dyDescent="0.25">
      <c r="A1094"/>
      <c r="G1094"/>
    </row>
    <row r="1095" spans="1:7" x14ac:dyDescent="0.25">
      <c r="A1095"/>
      <c r="G1095"/>
    </row>
    <row r="1096" spans="1:7" x14ac:dyDescent="0.25">
      <c r="A1096"/>
      <c r="G1096"/>
    </row>
    <row r="1097" spans="1:7" x14ac:dyDescent="0.25">
      <c r="A1097"/>
      <c r="G1097"/>
    </row>
    <row r="1098" spans="1:7" x14ac:dyDescent="0.25">
      <c r="A1098"/>
      <c r="G1098"/>
    </row>
    <row r="1099" spans="1:7" x14ac:dyDescent="0.25">
      <c r="A1099"/>
      <c r="G1099"/>
    </row>
    <row r="1100" spans="1:7" x14ac:dyDescent="0.25">
      <c r="A1100"/>
      <c r="G1100"/>
    </row>
    <row r="1101" spans="1:7" x14ac:dyDescent="0.25">
      <c r="A1101"/>
      <c r="G1101"/>
    </row>
    <row r="1102" spans="1:7" x14ac:dyDescent="0.25">
      <c r="A1102"/>
      <c r="G1102"/>
    </row>
    <row r="1103" spans="1:7" x14ac:dyDescent="0.25">
      <c r="A1103"/>
      <c r="G1103"/>
    </row>
    <row r="1104" spans="1:7" x14ac:dyDescent="0.25">
      <c r="A1104"/>
      <c r="G1104"/>
    </row>
    <row r="1105" spans="1:7" x14ac:dyDescent="0.25">
      <c r="A1105"/>
      <c r="G1105"/>
    </row>
    <row r="1106" spans="1:7" x14ac:dyDescent="0.25">
      <c r="A1106"/>
      <c r="G1106"/>
    </row>
    <row r="1107" spans="1:7" x14ac:dyDescent="0.25">
      <c r="A1107"/>
      <c r="G1107"/>
    </row>
    <row r="1108" spans="1:7" x14ac:dyDescent="0.25">
      <c r="A1108"/>
      <c r="G1108"/>
    </row>
    <row r="1109" spans="1:7" x14ac:dyDescent="0.25">
      <c r="A1109"/>
      <c r="G1109"/>
    </row>
    <row r="1110" spans="1:7" x14ac:dyDescent="0.25">
      <c r="A1110"/>
      <c r="G1110"/>
    </row>
    <row r="1111" spans="1:7" x14ac:dyDescent="0.25">
      <c r="A1111"/>
      <c r="G1111"/>
    </row>
    <row r="1112" spans="1:7" x14ac:dyDescent="0.25">
      <c r="A1112"/>
      <c r="G1112"/>
    </row>
    <row r="1113" spans="1:7" x14ac:dyDescent="0.25">
      <c r="A1113"/>
      <c r="G1113"/>
    </row>
    <row r="1114" spans="1:7" x14ac:dyDescent="0.25">
      <c r="A1114"/>
      <c r="G1114"/>
    </row>
    <row r="1115" spans="1:7" x14ac:dyDescent="0.25">
      <c r="A1115"/>
      <c r="G1115"/>
    </row>
    <row r="1116" spans="1:7" x14ac:dyDescent="0.25">
      <c r="A1116"/>
      <c r="G1116"/>
    </row>
    <row r="1117" spans="1:7" x14ac:dyDescent="0.25">
      <c r="A1117"/>
      <c r="G1117"/>
    </row>
    <row r="1118" spans="1:7" x14ac:dyDescent="0.25">
      <c r="A1118"/>
      <c r="G1118"/>
    </row>
    <row r="1119" spans="1:7" x14ac:dyDescent="0.25">
      <c r="A1119"/>
      <c r="G1119"/>
    </row>
    <row r="1120" spans="1:7" x14ac:dyDescent="0.25">
      <c r="A1120"/>
      <c r="G1120"/>
    </row>
    <row r="1121" spans="1:7" x14ac:dyDescent="0.25">
      <c r="A1121"/>
      <c r="G1121"/>
    </row>
    <row r="1122" spans="1:7" x14ac:dyDescent="0.25">
      <c r="A1122"/>
      <c r="G1122"/>
    </row>
    <row r="1123" spans="1:7" x14ac:dyDescent="0.25">
      <c r="A1123"/>
      <c r="G1123"/>
    </row>
    <row r="1124" spans="1:7" x14ac:dyDescent="0.25">
      <c r="A1124"/>
      <c r="G1124"/>
    </row>
    <row r="1125" spans="1:7" x14ac:dyDescent="0.25">
      <c r="A1125"/>
      <c r="G1125"/>
    </row>
    <row r="1126" spans="1:7" x14ac:dyDescent="0.25">
      <c r="A1126"/>
      <c r="G1126"/>
    </row>
    <row r="1127" spans="1:7" x14ac:dyDescent="0.25">
      <c r="A1127"/>
      <c r="G1127"/>
    </row>
    <row r="1128" spans="1:7" x14ac:dyDescent="0.25">
      <c r="A1128"/>
      <c r="G1128"/>
    </row>
    <row r="1129" spans="1:7" x14ac:dyDescent="0.25">
      <c r="A1129"/>
      <c r="G1129"/>
    </row>
    <row r="1130" spans="1:7" x14ac:dyDescent="0.25">
      <c r="A1130"/>
      <c r="G1130"/>
    </row>
    <row r="1131" spans="1:7" x14ac:dyDescent="0.25">
      <c r="A1131"/>
      <c r="G1131"/>
    </row>
    <row r="1132" spans="1:7" x14ac:dyDescent="0.25">
      <c r="A1132"/>
      <c r="G1132"/>
    </row>
    <row r="1133" spans="1:7" x14ac:dyDescent="0.25">
      <c r="A1133"/>
      <c r="G1133"/>
    </row>
    <row r="1134" spans="1:7" x14ac:dyDescent="0.25">
      <c r="A1134"/>
      <c r="G1134"/>
    </row>
    <row r="1135" spans="1:7" x14ac:dyDescent="0.25">
      <c r="A1135"/>
      <c r="G1135"/>
    </row>
    <row r="1136" spans="1:7" x14ac:dyDescent="0.25">
      <c r="A1136"/>
      <c r="G1136"/>
    </row>
    <row r="1137" spans="1:7" x14ac:dyDescent="0.25">
      <c r="A1137"/>
      <c r="G1137"/>
    </row>
    <row r="1138" spans="1:7" x14ac:dyDescent="0.25">
      <c r="A1138"/>
      <c r="G1138"/>
    </row>
    <row r="1139" spans="1:7" x14ac:dyDescent="0.25">
      <c r="A1139"/>
      <c r="G1139"/>
    </row>
    <row r="1140" spans="1:7" x14ac:dyDescent="0.25">
      <c r="A1140"/>
      <c r="G1140"/>
    </row>
    <row r="1141" spans="1:7" x14ac:dyDescent="0.25">
      <c r="A1141"/>
      <c r="G1141"/>
    </row>
    <row r="1142" spans="1:7" x14ac:dyDescent="0.25">
      <c r="A1142"/>
      <c r="G1142"/>
    </row>
    <row r="1143" spans="1:7" x14ac:dyDescent="0.25">
      <c r="A1143"/>
      <c r="G1143"/>
    </row>
    <row r="1144" spans="1:7" x14ac:dyDescent="0.25">
      <c r="A1144"/>
      <c r="G1144"/>
    </row>
    <row r="1145" spans="1:7" x14ac:dyDescent="0.25">
      <c r="A1145"/>
      <c r="G1145"/>
    </row>
    <row r="1146" spans="1:7" x14ac:dyDescent="0.25">
      <c r="A1146"/>
      <c r="G1146"/>
    </row>
    <row r="1147" spans="1:7" x14ac:dyDescent="0.25">
      <c r="A1147"/>
      <c r="G1147"/>
    </row>
    <row r="1148" spans="1:7" x14ac:dyDescent="0.25">
      <c r="A1148"/>
      <c r="G1148"/>
    </row>
    <row r="1149" spans="1:7" x14ac:dyDescent="0.25">
      <c r="A1149"/>
      <c r="G1149"/>
    </row>
    <row r="1150" spans="1:7" x14ac:dyDescent="0.25">
      <c r="A1150"/>
      <c r="G1150"/>
    </row>
    <row r="1151" spans="1:7" x14ac:dyDescent="0.25">
      <c r="A1151"/>
      <c r="G1151"/>
    </row>
    <row r="1152" spans="1:7" x14ac:dyDescent="0.25">
      <c r="A1152"/>
      <c r="G1152"/>
    </row>
    <row r="1153" spans="1:7" x14ac:dyDescent="0.25">
      <c r="A1153"/>
      <c r="G1153"/>
    </row>
    <row r="1154" spans="1:7" x14ac:dyDescent="0.25">
      <c r="A1154"/>
      <c r="G1154"/>
    </row>
    <row r="1155" spans="1:7" x14ac:dyDescent="0.25">
      <c r="A1155"/>
      <c r="G1155"/>
    </row>
    <row r="1156" spans="1:7" x14ac:dyDescent="0.25">
      <c r="A1156"/>
      <c r="G1156"/>
    </row>
    <row r="1157" spans="1:7" x14ac:dyDescent="0.25">
      <c r="A1157"/>
      <c r="G1157"/>
    </row>
    <row r="1158" spans="1:7" x14ac:dyDescent="0.25">
      <c r="A1158"/>
      <c r="G1158"/>
    </row>
    <row r="1159" spans="1:7" x14ac:dyDescent="0.25">
      <c r="A1159"/>
      <c r="G1159"/>
    </row>
    <row r="1160" spans="1:7" x14ac:dyDescent="0.25">
      <c r="A1160"/>
      <c r="G1160"/>
    </row>
    <row r="1161" spans="1:7" x14ac:dyDescent="0.25">
      <c r="A1161"/>
      <c r="G1161"/>
    </row>
    <row r="1162" spans="1:7" x14ac:dyDescent="0.25">
      <c r="A1162"/>
      <c r="G1162"/>
    </row>
    <row r="1163" spans="1:7" x14ac:dyDescent="0.25">
      <c r="A1163"/>
      <c r="G1163"/>
    </row>
    <row r="1164" spans="1:7" x14ac:dyDescent="0.25">
      <c r="A1164"/>
      <c r="G1164"/>
    </row>
    <row r="1165" spans="1:7" x14ac:dyDescent="0.25">
      <c r="A1165"/>
      <c r="G1165"/>
    </row>
    <row r="1166" spans="1:7" x14ac:dyDescent="0.25">
      <c r="A1166"/>
      <c r="G1166"/>
    </row>
    <row r="1167" spans="1:7" x14ac:dyDescent="0.25">
      <c r="A1167"/>
      <c r="G1167"/>
    </row>
    <row r="1168" spans="1:7" x14ac:dyDescent="0.25">
      <c r="A1168"/>
      <c r="G1168"/>
    </row>
    <row r="1169" spans="1:7" x14ac:dyDescent="0.25">
      <c r="A1169"/>
      <c r="G1169"/>
    </row>
    <row r="1170" spans="1:7" x14ac:dyDescent="0.25">
      <c r="A1170"/>
      <c r="G1170"/>
    </row>
    <row r="1171" spans="1:7" x14ac:dyDescent="0.25">
      <c r="A1171"/>
      <c r="G1171"/>
    </row>
    <row r="1172" spans="1:7" x14ac:dyDescent="0.25">
      <c r="A1172"/>
      <c r="G1172"/>
    </row>
    <row r="1173" spans="1:7" x14ac:dyDescent="0.25">
      <c r="A1173"/>
      <c r="G1173"/>
    </row>
    <row r="1174" spans="1:7" x14ac:dyDescent="0.25">
      <c r="A1174"/>
      <c r="G1174"/>
    </row>
    <row r="1175" spans="1:7" x14ac:dyDescent="0.25">
      <c r="A1175"/>
      <c r="G1175"/>
    </row>
    <row r="1176" spans="1:7" x14ac:dyDescent="0.25">
      <c r="A1176"/>
      <c r="G1176"/>
    </row>
    <row r="1177" spans="1:7" x14ac:dyDescent="0.25">
      <c r="A1177"/>
      <c r="G1177"/>
    </row>
    <row r="1178" spans="1:7" x14ac:dyDescent="0.25">
      <c r="A1178"/>
      <c r="G1178"/>
    </row>
    <row r="1179" spans="1:7" x14ac:dyDescent="0.25">
      <c r="A1179"/>
      <c r="G1179"/>
    </row>
    <row r="1180" spans="1:7" x14ac:dyDescent="0.25">
      <c r="A1180"/>
      <c r="G1180"/>
    </row>
    <row r="1181" spans="1:7" x14ac:dyDescent="0.25">
      <c r="A1181"/>
      <c r="G1181"/>
    </row>
    <row r="1182" spans="1:7" x14ac:dyDescent="0.25">
      <c r="A1182"/>
      <c r="G1182"/>
    </row>
    <row r="1183" spans="1:7" x14ac:dyDescent="0.25">
      <c r="A1183"/>
      <c r="G1183"/>
    </row>
    <row r="1184" spans="1:7" x14ac:dyDescent="0.25">
      <c r="A1184"/>
      <c r="G1184"/>
    </row>
    <row r="1185" spans="1:7" x14ac:dyDescent="0.25">
      <c r="A1185"/>
      <c r="G1185"/>
    </row>
    <row r="1186" spans="1:7" x14ac:dyDescent="0.25">
      <c r="A1186"/>
      <c r="G1186"/>
    </row>
    <row r="1187" spans="1:7" x14ac:dyDescent="0.25">
      <c r="A1187"/>
      <c r="G1187"/>
    </row>
    <row r="1188" spans="1:7" x14ac:dyDescent="0.25">
      <c r="A1188"/>
      <c r="G1188"/>
    </row>
    <row r="1189" spans="1:7" x14ac:dyDescent="0.25">
      <c r="A1189"/>
      <c r="G1189"/>
    </row>
    <row r="1190" spans="1:7" x14ac:dyDescent="0.25">
      <c r="A1190"/>
      <c r="G1190"/>
    </row>
    <row r="1191" spans="1:7" x14ac:dyDescent="0.25">
      <c r="A1191"/>
      <c r="G1191"/>
    </row>
    <row r="1192" spans="1:7" x14ac:dyDescent="0.25">
      <c r="A1192"/>
      <c r="G1192"/>
    </row>
    <row r="1193" spans="1:7" x14ac:dyDescent="0.25">
      <c r="A1193"/>
      <c r="G1193"/>
    </row>
    <row r="1194" spans="1:7" x14ac:dyDescent="0.25">
      <c r="A1194"/>
      <c r="G1194"/>
    </row>
    <row r="1195" spans="1:7" x14ac:dyDescent="0.25">
      <c r="A1195"/>
      <c r="G1195"/>
    </row>
    <row r="1196" spans="1:7" x14ac:dyDescent="0.25">
      <c r="A1196"/>
      <c r="G1196"/>
    </row>
    <row r="1197" spans="1:7" x14ac:dyDescent="0.25">
      <c r="A1197"/>
      <c r="G1197"/>
    </row>
    <row r="1198" spans="1:7" x14ac:dyDescent="0.25">
      <c r="A1198"/>
      <c r="G1198"/>
    </row>
    <row r="1199" spans="1:7" x14ac:dyDescent="0.25">
      <c r="A1199"/>
      <c r="G1199"/>
    </row>
    <row r="1200" spans="1:7" x14ac:dyDescent="0.25">
      <c r="A1200"/>
      <c r="G1200"/>
    </row>
    <row r="1201" spans="1:7" x14ac:dyDescent="0.25">
      <c r="A1201"/>
      <c r="G1201"/>
    </row>
    <row r="1202" spans="1:7" x14ac:dyDescent="0.25">
      <c r="A1202"/>
      <c r="G1202"/>
    </row>
    <row r="1203" spans="1:7" x14ac:dyDescent="0.25">
      <c r="A1203"/>
      <c r="G1203"/>
    </row>
    <row r="1204" spans="1:7" x14ac:dyDescent="0.25">
      <c r="A1204"/>
      <c r="G1204"/>
    </row>
    <row r="1205" spans="1:7" x14ac:dyDescent="0.25">
      <c r="A1205"/>
      <c r="G1205"/>
    </row>
    <row r="1206" spans="1:7" x14ac:dyDescent="0.25">
      <c r="A1206"/>
      <c r="G1206"/>
    </row>
    <row r="1207" spans="1:7" x14ac:dyDescent="0.25">
      <c r="A1207"/>
      <c r="G1207"/>
    </row>
    <row r="1208" spans="1:7" x14ac:dyDescent="0.25">
      <c r="A1208"/>
      <c r="G1208"/>
    </row>
    <row r="1209" spans="1:7" x14ac:dyDescent="0.25">
      <c r="A1209"/>
      <c r="G1209"/>
    </row>
    <row r="1210" spans="1:7" x14ac:dyDescent="0.25">
      <c r="A1210"/>
      <c r="G1210"/>
    </row>
    <row r="1211" spans="1:7" x14ac:dyDescent="0.25">
      <c r="A1211"/>
      <c r="G1211"/>
    </row>
    <row r="1212" spans="1:7" x14ac:dyDescent="0.25">
      <c r="A1212"/>
      <c r="G1212"/>
    </row>
    <row r="1213" spans="1:7" x14ac:dyDescent="0.25">
      <c r="A1213"/>
      <c r="G1213"/>
    </row>
    <row r="1214" spans="1:7" x14ac:dyDescent="0.25">
      <c r="A1214"/>
      <c r="G1214"/>
    </row>
    <row r="1215" spans="1:7" x14ac:dyDescent="0.25">
      <c r="A1215"/>
      <c r="G1215"/>
    </row>
    <row r="1216" spans="1:7" x14ac:dyDescent="0.25">
      <c r="A1216"/>
      <c r="G1216"/>
    </row>
    <row r="1217" spans="1:7" x14ac:dyDescent="0.25">
      <c r="A1217"/>
      <c r="G1217"/>
    </row>
    <row r="1218" spans="1:7" x14ac:dyDescent="0.25">
      <c r="A1218"/>
      <c r="G1218"/>
    </row>
    <row r="1219" spans="1:7" x14ac:dyDescent="0.25">
      <c r="A1219"/>
      <c r="G1219"/>
    </row>
    <row r="1220" spans="1:7" x14ac:dyDescent="0.25">
      <c r="A1220"/>
      <c r="G1220"/>
    </row>
    <row r="1221" spans="1:7" x14ac:dyDescent="0.25">
      <c r="A1221"/>
      <c r="G1221"/>
    </row>
    <row r="1222" spans="1:7" x14ac:dyDescent="0.25">
      <c r="A1222"/>
      <c r="G1222"/>
    </row>
    <row r="1223" spans="1:7" x14ac:dyDescent="0.25">
      <c r="A1223"/>
      <c r="G1223"/>
    </row>
    <row r="1224" spans="1:7" x14ac:dyDescent="0.25">
      <c r="A1224"/>
      <c r="G1224"/>
    </row>
    <row r="1225" spans="1:7" x14ac:dyDescent="0.25">
      <c r="A1225"/>
      <c r="G1225"/>
    </row>
    <row r="1226" spans="1:7" x14ac:dyDescent="0.25">
      <c r="A1226"/>
      <c r="G1226"/>
    </row>
    <row r="1227" spans="1:7" x14ac:dyDescent="0.25">
      <c r="A1227"/>
      <c r="G1227"/>
    </row>
    <row r="1228" spans="1:7" x14ac:dyDescent="0.25">
      <c r="A1228"/>
      <c r="G1228"/>
    </row>
    <row r="1229" spans="1:7" x14ac:dyDescent="0.25">
      <c r="A1229"/>
      <c r="G1229"/>
    </row>
    <row r="1230" spans="1:7" x14ac:dyDescent="0.25">
      <c r="A1230"/>
      <c r="G1230"/>
    </row>
    <row r="1231" spans="1:7" x14ac:dyDescent="0.25">
      <c r="A1231"/>
      <c r="G1231"/>
    </row>
    <row r="1232" spans="1:7" x14ac:dyDescent="0.25">
      <c r="A1232"/>
      <c r="G1232"/>
    </row>
    <row r="1233" spans="1:7" x14ac:dyDescent="0.25">
      <c r="A1233"/>
      <c r="G1233"/>
    </row>
    <row r="1234" spans="1:7" x14ac:dyDescent="0.25">
      <c r="A1234"/>
      <c r="G1234"/>
    </row>
    <row r="1235" spans="1:7" x14ac:dyDescent="0.25">
      <c r="A1235"/>
      <c r="G1235"/>
    </row>
    <row r="1236" spans="1:7" x14ac:dyDescent="0.25">
      <c r="A1236"/>
      <c r="G1236"/>
    </row>
    <row r="1237" spans="1:7" x14ac:dyDescent="0.25">
      <c r="A1237"/>
      <c r="G1237"/>
    </row>
    <row r="1238" spans="1:7" x14ac:dyDescent="0.25">
      <c r="A1238"/>
      <c r="G1238"/>
    </row>
    <row r="1239" spans="1:7" x14ac:dyDescent="0.25">
      <c r="A1239"/>
      <c r="G1239"/>
    </row>
    <row r="1240" spans="1:7" x14ac:dyDescent="0.25">
      <c r="A1240"/>
      <c r="G1240"/>
    </row>
    <row r="1241" spans="1:7" x14ac:dyDescent="0.25">
      <c r="A1241"/>
      <c r="G1241"/>
    </row>
    <row r="1242" spans="1:7" x14ac:dyDescent="0.25">
      <c r="A1242"/>
      <c r="G1242"/>
    </row>
    <row r="1243" spans="1:7" x14ac:dyDescent="0.25">
      <c r="A1243"/>
      <c r="G1243"/>
    </row>
    <row r="1244" spans="1:7" x14ac:dyDescent="0.25">
      <c r="A1244"/>
      <c r="G1244"/>
    </row>
    <row r="1245" spans="1:7" x14ac:dyDescent="0.25">
      <c r="A1245"/>
      <c r="G1245"/>
    </row>
    <row r="1246" spans="1:7" x14ac:dyDescent="0.25">
      <c r="A1246"/>
      <c r="G1246"/>
    </row>
    <row r="1247" spans="1:7" x14ac:dyDescent="0.25">
      <c r="A1247"/>
      <c r="G1247"/>
    </row>
    <row r="1248" spans="1:7" x14ac:dyDescent="0.25">
      <c r="A1248"/>
      <c r="G1248"/>
    </row>
    <row r="1249" spans="1:7" x14ac:dyDescent="0.25">
      <c r="A1249"/>
      <c r="G1249"/>
    </row>
    <row r="1250" spans="1:7" x14ac:dyDescent="0.25">
      <c r="A1250"/>
      <c r="G1250"/>
    </row>
    <row r="1251" spans="1:7" x14ac:dyDescent="0.25">
      <c r="A1251"/>
      <c r="G1251"/>
    </row>
    <row r="1252" spans="1:7" x14ac:dyDescent="0.25">
      <c r="A1252"/>
      <c r="G1252"/>
    </row>
    <row r="1253" spans="1:7" x14ac:dyDescent="0.25">
      <c r="A1253"/>
      <c r="G1253"/>
    </row>
    <row r="1254" spans="1:7" x14ac:dyDescent="0.25">
      <c r="A1254"/>
      <c r="G1254"/>
    </row>
    <row r="1255" spans="1:7" x14ac:dyDescent="0.25">
      <c r="A1255"/>
      <c r="G1255"/>
    </row>
    <row r="1256" spans="1:7" x14ac:dyDescent="0.25">
      <c r="A1256"/>
      <c r="G1256"/>
    </row>
    <row r="1257" spans="1:7" x14ac:dyDescent="0.25">
      <c r="A1257"/>
      <c r="G1257"/>
    </row>
    <row r="1258" spans="1:7" x14ac:dyDescent="0.25">
      <c r="A1258"/>
      <c r="G1258"/>
    </row>
    <row r="1259" spans="1:7" x14ac:dyDescent="0.25">
      <c r="A1259"/>
      <c r="G1259"/>
    </row>
    <row r="1260" spans="1:7" x14ac:dyDescent="0.25">
      <c r="A1260"/>
      <c r="G1260"/>
    </row>
    <row r="1261" spans="1:7" x14ac:dyDescent="0.25">
      <c r="A1261"/>
      <c r="G1261"/>
    </row>
    <row r="1262" spans="1:7" x14ac:dyDescent="0.25">
      <c r="A1262"/>
      <c r="G1262"/>
    </row>
    <row r="1263" spans="1:7" x14ac:dyDescent="0.25">
      <c r="A1263"/>
      <c r="G1263"/>
    </row>
    <row r="1264" spans="1:7" x14ac:dyDescent="0.25">
      <c r="A1264"/>
      <c r="G1264"/>
    </row>
    <row r="1265" spans="1:7" x14ac:dyDescent="0.25">
      <c r="A1265"/>
      <c r="G1265"/>
    </row>
    <row r="1266" spans="1:7" x14ac:dyDescent="0.25">
      <c r="A1266"/>
      <c r="G1266"/>
    </row>
    <row r="1267" spans="1:7" x14ac:dyDescent="0.25">
      <c r="A1267"/>
      <c r="G1267"/>
    </row>
    <row r="1268" spans="1:7" x14ac:dyDescent="0.25">
      <c r="A1268"/>
      <c r="G1268"/>
    </row>
    <row r="1269" spans="1:7" x14ac:dyDescent="0.25">
      <c r="A1269"/>
      <c r="G1269"/>
    </row>
    <row r="1270" spans="1:7" x14ac:dyDescent="0.25">
      <c r="A1270"/>
      <c r="G1270"/>
    </row>
    <row r="1271" spans="1:7" x14ac:dyDescent="0.25">
      <c r="A1271"/>
      <c r="G1271"/>
    </row>
    <row r="1272" spans="1:7" x14ac:dyDescent="0.25">
      <c r="A1272"/>
      <c r="G1272"/>
    </row>
    <row r="1273" spans="1:7" x14ac:dyDescent="0.25">
      <c r="A1273"/>
      <c r="G1273"/>
    </row>
    <row r="1274" spans="1:7" x14ac:dyDescent="0.25">
      <c r="A1274"/>
      <c r="G1274"/>
    </row>
    <row r="1275" spans="1:7" x14ac:dyDescent="0.25">
      <c r="A1275"/>
      <c r="G1275"/>
    </row>
    <row r="1276" spans="1:7" x14ac:dyDescent="0.25">
      <c r="A1276"/>
      <c r="G1276"/>
    </row>
    <row r="1277" spans="1:7" x14ac:dyDescent="0.25">
      <c r="A1277"/>
      <c r="G1277"/>
    </row>
    <row r="1278" spans="1:7" x14ac:dyDescent="0.25">
      <c r="A1278"/>
      <c r="G1278"/>
    </row>
    <row r="1279" spans="1:7" x14ac:dyDescent="0.25">
      <c r="A1279"/>
      <c r="G1279"/>
    </row>
    <row r="1280" spans="1:7" x14ac:dyDescent="0.25">
      <c r="A1280"/>
      <c r="G1280"/>
    </row>
    <row r="1281" spans="1:7" x14ac:dyDescent="0.25">
      <c r="A1281"/>
      <c r="G1281"/>
    </row>
    <row r="1282" spans="1:7" x14ac:dyDescent="0.25">
      <c r="A1282"/>
      <c r="G1282"/>
    </row>
    <row r="1283" spans="1:7" x14ac:dyDescent="0.25">
      <c r="A1283"/>
      <c r="G1283"/>
    </row>
    <row r="1284" spans="1:7" x14ac:dyDescent="0.25">
      <c r="A1284"/>
      <c r="G1284"/>
    </row>
    <row r="1285" spans="1:7" x14ac:dyDescent="0.25">
      <c r="A1285"/>
      <c r="G1285"/>
    </row>
    <row r="1286" spans="1:7" x14ac:dyDescent="0.25">
      <c r="A1286"/>
      <c r="G1286"/>
    </row>
    <row r="1287" spans="1:7" x14ac:dyDescent="0.25">
      <c r="A1287"/>
      <c r="G1287"/>
    </row>
    <row r="1288" spans="1:7" x14ac:dyDescent="0.25">
      <c r="A1288"/>
      <c r="G1288"/>
    </row>
    <row r="1289" spans="1:7" x14ac:dyDescent="0.25">
      <c r="A1289"/>
      <c r="G1289"/>
    </row>
    <row r="1290" spans="1:7" x14ac:dyDescent="0.25">
      <c r="A1290"/>
      <c r="G1290"/>
    </row>
    <row r="1291" spans="1:7" x14ac:dyDescent="0.25">
      <c r="A1291"/>
      <c r="G1291"/>
    </row>
    <row r="1292" spans="1:7" x14ac:dyDescent="0.25">
      <c r="A1292"/>
      <c r="G1292"/>
    </row>
    <row r="1293" spans="1:7" x14ac:dyDescent="0.25">
      <c r="A1293"/>
      <c r="G1293"/>
    </row>
    <row r="1294" spans="1:7" x14ac:dyDescent="0.25">
      <c r="A1294"/>
      <c r="G1294"/>
    </row>
    <row r="1295" spans="1:7" x14ac:dyDescent="0.25">
      <c r="A1295"/>
      <c r="G1295"/>
    </row>
    <row r="1296" spans="1:7" x14ac:dyDescent="0.25">
      <c r="A1296"/>
      <c r="G1296"/>
    </row>
    <row r="1297" spans="1:7" x14ac:dyDescent="0.25">
      <c r="A1297"/>
      <c r="G1297"/>
    </row>
    <row r="1298" spans="1:7" x14ac:dyDescent="0.25">
      <c r="A1298"/>
      <c r="G1298"/>
    </row>
    <row r="1299" spans="1:7" x14ac:dyDescent="0.25">
      <c r="A1299"/>
      <c r="G1299"/>
    </row>
    <row r="1300" spans="1:7" x14ac:dyDescent="0.25">
      <c r="A1300"/>
      <c r="G1300"/>
    </row>
    <row r="1301" spans="1:7" x14ac:dyDescent="0.25">
      <c r="A1301"/>
      <c r="G1301"/>
    </row>
    <row r="1302" spans="1:7" x14ac:dyDescent="0.25">
      <c r="A1302"/>
      <c r="G1302"/>
    </row>
    <row r="1303" spans="1:7" x14ac:dyDescent="0.25">
      <c r="A1303"/>
      <c r="G1303"/>
    </row>
    <row r="1304" spans="1:7" x14ac:dyDescent="0.25">
      <c r="A1304"/>
      <c r="G1304"/>
    </row>
    <row r="1305" spans="1:7" x14ac:dyDescent="0.25">
      <c r="A1305"/>
      <c r="G1305"/>
    </row>
    <row r="1306" spans="1:7" x14ac:dyDescent="0.25">
      <c r="A1306"/>
      <c r="G1306"/>
    </row>
    <row r="1307" spans="1:7" x14ac:dyDescent="0.25">
      <c r="A1307"/>
      <c r="G1307"/>
    </row>
    <row r="1308" spans="1:7" x14ac:dyDescent="0.25">
      <c r="A1308"/>
      <c r="G1308"/>
    </row>
    <row r="1309" spans="1:7" x14ac:dyDescent="0.25">
      <c r="A1309"/>
      <c r="G1309"/>
    </row>
    <row r="1310" spans="1:7" x14ac:dyDescent="0.25">
      <c r="A1310"/>
      <c r="G1310"/>
    </row>
    <row r="1311" spans="1:7" x14ac:dyDescent="0.25">
      <c r="A1311"/>
      <c r="G1311"/>
    </row>
    <row r="1312" spans="1:7" x14ac:dyDescent="0.25">
      <c r="A1312"/>
      <c r="G1312"/>
    </row>
    <row r="1313" spans="1:7" x14ac:dyDescent="0.25">
      <c r="A1313"/>
      <c r="G1313"/>
    </row>
    <row r="1314" spans="1:7" x14ac:dyDescent="0.25">
      <c r="A1314"/>
      <c r="G1314"/>
    </row>
    <row r="1315" spans="1:7" x14ac:dyDescent="0.25">
      <c r="A1315"/>
      <c r="G1315"/>
    </row>
    <row r="1316" spans="1:7" x14ac:dyDescent="0.25">
      <c r="A1316"/>
      <c r="G1316"/>
    </row>
    <row r="1317" spans="1:7" x14ac:dyDescent="0.25">
      <c r="A1317"/>
      <c r="G1317"/>
    </row>
    <row r="1318" spans="1:7" x14ac:dyDescent="0.25">
      <c r="A1318"/>
      <c r="G1318"/>
    </row>
    <row r="1319" spans="1:7" x14ac:dyDescent="0.25">
      <c r="A1319"/>
      <c r="G1319"/>
    </row>
    <row r="1320" spans="1:7" x14ac:dyDescent="0.25">
      <c r="A1320"/>
      <c r="G1320"/>
    </row>
    <row r="1321" spans="1:7" x14ac:dyDescent="0.25">
      <c r="A1321"/>
      <c r="G1321"/>
    </row>
    <row r="1322" spans="1:7" x14ac:dyDescent="0.25">
      <c r="A1322"/>
      <c r="G1322"/>
    </row>
    <row r="1323" spans="1:7" x14ac:dyDescent="0.25">
      <c r="A1323"/>
      <c r="G1323"/>
    </row>
    <row r="1324" spans="1:7" x14ac:dyDescent="0.25">
      <c r="A1324"/>
      <c r="G1324"/>
    </row>
    <row r="1325" spans="1:7" x14ac:dyDescent="0.25">
      <c r="A1325"/>
      <c r="G1325"/>
    </row>
    <row r="1326" spans="1:7" x14ac:dyDescent="0.25">
      <c r="A1326"/>
      <c r="G1326"/>
    </row>
    <row r="1327" spans="1:7" x14ac:dyDescent="0.25">
      <c r="A1327"/>
      <c r="G1327"/>
    </row>
    <row r="1328" spans="1:7" x14ac:dyDescent="0.25">
      <c r="A1328"/>
      <c r="G1328"/>
    </row>
    <row r="1329" spans="1:7" x14ac:dyDescent="0.25">
      <c r="A1329"/>
      <c r="G1329"/>
    </row>
    <row r="1330" spans="1:7" x14ac:dyDescent="0.25">
      <c r="A1330"/>
      <c r="G1330"/>
    </row>
    <row r="1331" spans="1:7" x14ac:dyDescent="0.25">
      <c r="A1331"/>
      <c r="G1331"/>
    </row>
    <row r="1332" spans="1:7" x14ac:dyDescent="0.25">
      <c r="A1332"/>
      <c r="G1332"/>
    </row>
    <row r="1333" spans="1:7" x14ac:dyDescent="0.25">
      <c r="A1333"/>
      <c r="G1333"/>
    </row>
    <row r="1334" spans="1:7" x14ac:dyDescent="0.25">
      <c r="A1334"/>
      <c r="G1334"/>
    </row>
    <row r="1335" spans="1:7" x14ac:dyDescent="0.25">
      <c r="A1335"/>
      <c r="G1335"/>
    </row>
    <row r="1336" spans="1:7" x14ac:dyDescent="0.25">
      <c r="A1336"/>
      <c r="G1336"/>
    </row>
    <row r="1337" spans="1:7" x14ac:dyDescent="0.25">
      <c r="A1337"/>
      <c r="G1337"/>
    </row>
    <row r="1338" spans="1:7" x14ac:dyDescent="0.25">
      <c r="A1338"/>
      <c r="G1338"/>
    </row>
    <row r="1339" spans="1:7" x14ac:dyDescent="0.25">
      <c r="A1339"/>
      <c r="G1339"/>
    </row>
    <row r="1340" spans="1:7" x14ac:dyDescent="0.25">
      <c r="A1340"/>
      <c r="G1340"/>
    </row>
    <row r="1341" spans="1:7" x14ac:dyDescent="0.25">
      <c r="A1341"/>
      <c r="G1341"/>
    </row>
    <row r="1342" spans="1:7" x14ac:dyDescent="0.25">
      <c r="A1342"/>
      <c r="G1342"/>
    </row>
    <row r="1343" spans="1:7" x14ac:dyDescent="0.25">
      <c r="A1343"/>
      <c r="G1343"/>
    </row>
    <row r="1344" spans="1:7" x14ac:dyDescent="0.25">
      <c r="A1344"/>
      <c r="G1344"/>
    </row>
    <row r="1345" spans="1:7" x14ac:dyDescent="0.25">
      <c r="A1345"/>
      <c r="G1345"/>
    </row>
    <row r="1346" spans="1:7" x14ac:dyDescent="0.25">
      <c r="A1346"/>
      <c r="G1346"/>
    </row>
    <row r="1347" spans="1:7" x14ac:dyDescent="0.25">
      <c r="A1347"/>
      <c r="G1347"/>
    </row>
    <row r="1348" spans="1:7" x14ac:dyDescent="0.25">
      <c r="A1348"/>
      <c r="G1348"/>
    </row>
    <row r="1349" spans="1:7" x14ac:dyDescent="0.25">
      <c r="A1349"/>
      <c r="G1349"/>
    </row>
    <row r="1350" spans="1:7" x14ac:dyDescent="0.25">
      <c r="A1350"/>
      <c r="G1350"/>
    </row>
    <row r="1351" spans="1:7" x14ac:dyDescent="0.25">
      <c r="A1351"/>
      <c r="G1351"/>
    </row>
    <row r="1352" spans="1:7" x14ac:dyDescent="0.25">
      <c r="A1352"/>
      <c r="G1352"/>
    </row>
    <row r="1353" spans="1:7" x14ac:dyDescent="0.25">
      <c r="A1353"/>
      <c r="G1353"/>
    </row>
    <row r="1354" spans="1:7" x14ac:dyDescent="0.25">
      <c r="A1354"/>
      <c r="G1354"/>
    </row>
    <row r="1355" spans="1:7" x14ac:dyDescent="0.25">
      <c r="A1355"/>
      <c r="G1355"/>
    </row>
    <row r="1356" spans="1:7" x14ac:dyDescent="0.25">
      <c r="A1356"/>
      <c r="G1356"/>
    </row>
    <row r="1357" spans="1:7" x14ac:dyDescent="0.25">
      <c r="A1357"/>
      <c r="G1357"/>
    </row>
    <row r="1358" spans="1:7" x14ac:dyDescent="0.25">
      <c r="A1358"/>
      <c r="G1358"/>
    </row>
    <row r="1359" spans="1:7" x14ac:dyDescent="0.25">
      <c r="A1359"/>
      <c r="G1359"/>
    </row>
    <row r="1360" spans="1:7" x14ac:dyDescent="0.25">
      <c r="A1360"/>
      <c r="G1360"/>
    </row>
    <row r="1361" spans="1:7" x14ac:dyDescent="0.25">
      <c r="A1361"/>
      <c r="G1361"/>
    </row>
    <row r="1362" spans="1:7" x14ac:dyDescent="0.25">
      <c r="A1362"/>
      <c r="G1362"/>
    </row>
    <row r="1363" spans="1:7" x14ac:dyDescent="0.25">
      <c r="A1363"/>
      <c r="G1363"/>
    </row>
    <row r="1364" spans="1:7" x14ac:dyDescent="0.25">
      <c r="A1364"/>
      <c r="G1364"/>
    </row>
    <row r="1365" spans="1:7" x14ac:dyDescent="0.25">
      <c r="A1365"/>
      <c r="G1365"/>
    </row>
    <row r="1366" spans="1:7" x14ac:dyDescent="0.25">
      <c r="A1366"/>
      <c r="G1366"/>
    </row>
    <row r="1367" spans="1:7" x14ac:dyDescent="0.25">
      <c r="A1367"/>
      <c r="G1367"/>
    </row>
    <row r="1368" spans="1:7" x14ac:dyDescent="0.25">
      <c r="A1368"/>
      <c r="G1368"/>
    </row>
    <row r="1369" spans="1:7" x14ac:dyDescent="0.25">
      <c r="A1369"/>
      <c r="G1369"/>
    </row>
    <row r="1370" spans="1:7" x14ac:dyDescent="0.25">
      <c r="A1370"/>
      <c r="G1370"/>
    </row>
    <row r="1371" spans="1:7" x14ac:dyDescent="0.25">
      <c r="A1371"/>
      <c r="G1371"/>
    </row>
    <row r="1372" spans="1:7" x14ac:dyDescent="0.25">
      <c r="A1372"/>
      <c r="G1372"/>
    </row>
    <row r="1373" spans="1:7" x14ac:dyDescent="0.25">
      <c r="A1373"/>
      <c r="G1373"/>
    </row>
    <row r="1374" spans="1:7" x14ac:dyDescent="0.25">
      <c r="A1374"/>
      <c r="G1374"/>
    </row>
    <row r="1375" spans="1:7" x14ac:dyDescent="0.25">
      <c r="A1375"/>
      <c r="G1375"/>
    </row>
    <row r="1376" spans="1:7" x14ac:dyDescent="0.25">
      <c r="A1376"/>
      <c r="G1376"/>
    </row>
    <row r="1377" spans="1:7" x14ac:dyDescent="0.25">
      <c r="A1377"/>
      <c r="G1377"/>
    </row>
    <row r="1378" spans="1:7" x14ac:dyDescent="0.25">
      <c r="A1378"/>
      <c r="G1378"/>
    </row>
    <row r="1379" spans="1:7" x14ac:dyDescent="0.25">
      <c r="A1379"/>
      <c r="G1379"/>
    </row>
    <row r="1380" spans="1:7" x14ac:dyDescent="0.25">
      <c r="A1380"/>
      <c r="G1380"/>
    </row>
    <row r="1381" spans="1:7" x14ac:dyDescent="0.25">
      <c r="A1381"/>
      <c r="G1381"/>
    </row>
    <row r="1382" spans="1:7" x14ac:dyDescent="0.25">
      <c r="A1382"/>
      <c r="G1382"/>
    </row>
    <row r="1383" spans="1:7" x14ac:dyDescent="0.25">
      <c r="A1383"/>
      <c r="G1383"/>
    </row>
    <row r="1384" spans="1:7" x14ac:dyDescent="0.25">
      <c r="A1384"/>
      <c r="G1384"/>
    </row>
    <row r="1385" spans="1:7" x14ac:dyDescent="0.25">
      <c r="A1385"/>
      <c r="G1385"/>
    </row>
    <row r="1386" spans="1:7" x14ac:dyDescent="0.25">
      <c r="A1386"/>
      <c r="G1386"/>
    </row>
    <row r="1387" spans="1:7" x14ac:dyDescent="0.25">
      <c r="A1387"/>
      <c r="G1387"/>
    </row>
    <row r="1388" spans="1:7" x14ac:dyDescent="0.25">
      <c r="A1388"/>
      <c r="G1388"/>
    </row>
    <row r="1389" spans="1:7" x14ac:dyDescent="0.25">
      <c r="A1389"/>
      <c r="G1389"/>
    </row>
    <row r="1390" spans="1:7" x14ac:dyDescent="0.25">
      <c r="A1390"/>
      <c r="G1390"/>
    </row>
    <row r="1391" spans="1:7" x14ac:dyDescent="0.25">
      <c r="A1391"/>
      <c r="G1391"/>
    </row>
    <row r="1392" spans="1:7" x14ac:dyDescent="0.25">
      <c r="A1392"/>
      <c r="G1392"/>
    </row>
    <row r="1393" spans="1:7" x14ac:dyDescent="0.25">
      <c r="A1393"/>
      <c r="G1393"/>
    </row>
    <row r="1394" spans="1:7" x14ac:dyDescent="0.25">
      <c r="A1394"/>
      <c r="G1394"/>
    </row>
    <row r="1395" spans="1:7" x14ac:dyDescent="0.25">
      <c r="A1395"/>
      <c r="G1395"/>
    </row>
    <row r="1396" spans="1:7" x14ac:dyDescent="0.25">
      <c r="A1396"/>
      <c r="G1396"/>
    </row>
    <row r="1397" spans="1:7" x14ac:dyDescent="0.25">
      <c r="A1397"/>
      <c r="G1397"/>
    </row>
    <row r="1398" spans="1:7" x14ac:dyDescent="0.25">
      <c r="A1398"/>
      <c r="G1398"/>
    </row>
    <row r="1399" spans="1:7" x14ac:dyDescent="0.25">
      <c r="A1399"/>
      <c r="G1399"/>
    </row>
    <row r="1400" spans="1:7" x14ac:dyDescent="0.25">
      <c r="A1400"/>
      <c r="G1400"/>
    </row>
    <row r="1401" spans="1:7" x14ac:dyDescent="0.25">
      <c r="A1401"/>
      <c r="G1401"/>
    </row>
    <row r="1402" spans="1:7" x14ac:dyDescent="0.25">
      <c r="A1402"/>
      <c r="G1402"/>
    </row>
    <row r="1403" spans="1:7" x14ac:dyDescent="0.25">
      <c r="A1403"/>
      <c r="G1403"/>
    </row>
    <row r="1404" spans="1:7" x14ac:dyDescent="0.25">
      <c r="A1404"/>
      <c r="G1404"/>
    </row>
    <row r="1405" spans="1:7" x14ac:dyDescent="0.25">
      <c r="A1405"/>
      <c r="G1405"/>
    </row>
    <row r="1406" spans="1:7" x14ac:dyDescent="0.25">
      <c r="A1406"/>
      <c r="G1406"/>
    </row>
    <row r="1407" spans="1:7" x14ac:dyDescent="0.25">
      <c r="A1407"/>
      <c r="G1407"/>
    </row>
    <row r="1408" spans="1:7" x14ac:dyDescent="0.25">
      <c r="A1408"/>
      <c r="G1408"/>
    </row>
    <row r="1409" spans="1:7" x14ac:dyDescent="0.25">
      <c r="A1409"/>
      <c r="G1409"/>
    </row>
    <row r="1410" spans="1:7" x14ac:dyDescent="0.25">
      <c r="A1410"/>
      <c r="G1410"/>
    </row>
    <row r="1411" spans="1:7" x14ac:dyDescent="0.25">
      <c r="A1411"/>
      <c r="G1411"/>
    </row>
    <row r="1412" spans="1:7" x14ac:dyDescent="0.25">
      <c r="A1412"/>
      <c r="G1412"/>
    </row>
    <row r="1413" spans="1:7" x14ac:dyDescent="0.25">
      <c r="A1413"/>
      <c r="G1413"/>
    </row>
    <row r="1414" spans="1:7" x14ac:dyDescent="0.25">
      <c r="A1414"/>
      <c r="G1414"/>
    </row>
    <row r="1415" spans="1:7" x14ac:dyDescent="0.25">
      <c r="A1415"/>
      <c r="G1415"/>
    </row>
    <row r="1416" spans="1:7" x14ac:dyDescent="0.25">
      <c r="A1416"/>
      <c r="G1416"/>
    </row>
    <row r="1417" spans="1:7" x14ac:dyDescent="0.25">
      <c r="A1417"/>
      <c r="G1417"/>
    </row>
    <row r="1418" spans="1:7" x14ac:dyDescent="0.25">
      <c r="A1418"/>
      <c r="G1418"/>
    </row>
    <row r="1419" spans="1:7" x14ac:dyDescent="0.25">
      <c r="A1419"/>
      <c r="G1419"/>
    </row>
    <row r="1420" spans="1:7" x14ac:dyDescent="0.25">
      <c r="A1420"/>
      <c r="G1420"/>
    </row>
    <row r="1421" spans="1:7" x14ac:dyDescent="0.25">
      <c r="A1421"/>
      <c r="G1421"/>
    </row>
    <row r="1422" spans="1:7" x14ac:dyDescent="0.25">
      <c r="A1422"/>
      <c r="G1422"/>
    </row>
    <row r="1423" spans="1:7" x14ac:dyDescent="0.25">
      <c r="A1423"/>
      <c r="G1423"/>
    </row>
    <row r="1424" spans="1:7" x14ac:dyDescent="0.25">
      <c r="A1424"/>
      <c r="G1424"/>
    </row>
    <row r="1425" spans="1:7" x14ac:dyDescent="0.25">
      <c r="A1425"/>
      <c r="G1425"/>
    </row>
    <row r="1426" spans="1:7" x14ac:dyDescent="0.25">
      <c r="A1426"/>
      <c r="G1426"/>
    </row>
    <row r="1427" spans="1:7" x14ac:dyDescent="0.25">
      <c r="A1427"/>
      <c r="G1427"/>
    </row>
    <row r="1428" spans="1:7" x14ac:dyDescent="0.25">
      <c r="A1428"/>
      <c r="G1428"/>
    </row>
    <row r="1429" spans="1:7" x14ac:dyDescent="0.25">
      <c r="A1429"/>
      <c r="G1429"/>
    </row>
    <row r="1430" spans="1:7" x14ac:dyDescent="0.25">
      <c r="A1430"/>
      <c r="G1430"/>
    </row>
    <row r="1431" spans="1:7" x14ac:dyDescent="0.25">
      <c r="A1431"/>
      <c r="G1431"/>
    </row>
    <row r="1432" spans="1:7" x14ac:dyDescent="0.25">
      <c r="A1432"/>
      <c r="G1432"/>
    </row>
    <row r="1433" spans="1:7" x14ac:dyDescent="0.25">
      <c r="A1433"/>
      <c r="G1433"/>
    </row>
    <row r="1434" spans="1:7" x14ac:dyDescent="0.25">
      <c r="A1434"/>
      <c r="G1434"/>
    </row>
    <row r="1435" spans="1:7" x14ac:dyDescent="0.25">
      <c r="A1435"/>
      <c r="G1435"/>
    </row>
    <row r="1436" spans="1:7" x14ac:dyDescent="0.25">
      <c r="A1436"/>
      <c r="G1436"/>
    </row>
    <row r="1437" spans="1:7" x14ac:dyDescent="0.25">
      <c r="A1437"/>
      <c r="G1437"/>
    </row>
    <row r="1438" spans="1:7" x14ac:dyDescent="0.25">
      <c r="A1438"/>
      <c r="G1438"/>
    </row>
    <row r="1439" spans="1:7" x14ac:dyDescent="0.25">
      <c r="A1439"/>
      <c r="G1439"/>
    </row>
    <row r="1440" spans="1:7" x14ac:dyDescent="0.25">
      <c r="A1440"/>
      <c r="G1440"/>
    </row>
    <row r="1441" spans="1:7" x14ac:dyDescent="0.25">
      <c r="A1441"/>
      <c r="G1441"/>
    </row>
    <row r="1442" spans="1:7" x14ac:dyDescent="0.25">
      <c r="A1442"/>
      <c r="G1442"/>
    </row>
    <row r="1443" spans="1:7" x14ac:dyDescent="0.25">
      <c r="A1443"/>
      <c r="G1443"/>
    </row>
    <row r="1444" spans="1:7" x14ac:dyDescent="0.25">
      <c r="A1444"/>
      <c r="G1444"/>
    </row>
    <row r="1445" spans="1:7" x14ac:dyDescent="0.25">
      <c r="A1445"/>
      <c r="G1445"/>
    </row>
    <row r="1446" spans="1:7" x14ac:dyDescent="0.25">
      <c r="A1446"/>
      <c r="G1446"/>
    </row>
    <row r="1447" spans="1:7" x14ac:dyDescent="0.25">
      <c r="A1447"/>
      <c r="G1447"/>
    </row>
    <row r="1448" spans="1:7" x14ac:dyDescent="0.25">
      <c r="A1448"/>
      <c r="G1448"/>
    </row>
    <row r="1449" spans="1:7" x14ac:dyDescent="0.25">
      <c r="A1449"/>
      <c r="G1449"/>
    </row>
    <row r="1450" spans="1:7" x14ac:dyDescent="0.25">
      <c r="A1450"/>
      <c r="G1450"/>
    </row>
    <row r="1451" spans="1:7" x14ac:dyDescent="0.25">
      <c r="A1451"/>
      <c r="G1451"/>
    </row>
    <row r="1452" spans="1:7" x14ac:dyDescent="0.25">
      <c r="A1452"/>
      <c r="G1452"/>
    </row>
    <row r="1453" spans="1:7" x14ac:dyDescent="0.25">
      <c r="A1453"/>
      <c r="G1453"/>
    </row>
    <row r="1454" spans="1:7" x14ac:dyDescent="0.25">
      <c r="A1454"/>
      <c r="G1454"/>
    </row>
    <row r="1455" spans="1:7" x14ac:dyDescent="0.25">
      <c r="A1455"/>
      <c r="G1455"/>
    </row>
    <row r="1456" spans="1:7" x14ac:dyDescent="0.25">
      <c r="A1456"/>
      <c r="G1456"/>
    </row>
    <row r="1457" spans="1:7" x14ac:dyDescent="0.25">
      <c r="A1457"/>
      <c r="G1457"/>
    </row>
    <row r="1458" spans="1:7" x14ac:dyDescent="0.25">
      <c r="A1458"/>
      <c r="G1458"/>
    </row>
    <row r="1459" spans="1:7" x14ac:dyDescent="0.25">
      <c r="A1459"/>
      <c r="G1459"/>
    </row>
    <row r="1460" spans="1:7" x14ac:dyDescent="0.25">
      <c r="A1460"/>
      <c r="G1460"/>
    </row>
    <row r="1461" spans="1:7" x14ac:dyDescent="0.25">
      <c r="A1461"/>
      <c r="G1461"/>
    </row>
    <row r="1462" spans="1:7" x14ac:dyDescent="0.25">
      <c r="A1462"/>
      <c r="G1462"/>
    </row>
    <row r="1463" spans="1:7" x14ac:dyDescent="0.25">
      <c r="A1463"/>
      <c r="G1463"/>
    </row>
    <row r="1464" spans="1:7" x14ac:dyDescent="0.25">
      <c r="A1464"/>
      <c r="G1464"/>
    </row>
    <row r="1465" spans="1:7" x14ac:dyDescent="0.25">
      <c r="A1465"/>
      <c r="G1465"/>
    </row>
    <row r="1466" spans="1:7" x14ac:dyDescent="0.25">
      <c r="A1466"/>
      <c r="G1466"/>
    </row>
    <row r="1467" spans="1:7" x14ac:dyDescent="0.25">
      <c r="A1467"/>
      <c r="G1467"/>
    </row>
    <row r="1468" spans="1:7" x14ac:dyDescent="0.25">
      <c r="A1468"/>
      <c r="G1468"/>
    </row>
    <row r="1469" spans="1:7" x14ac:dyDescent="0.25">
      <c r="A1469"/>
      <c r="G1469"/>
    </row>
    <row r="1470" spans="1:7" x14ac:dyDescent="0.25">
      <c r="A1470"/>
      <c r="G1470"/>
    </row>
    <row r="1471" spans="1:7" x14ac:dyDescent="0.25">
      <c r="A1471"/>
      <c r="G1471"/>
    </row>
    <row r="1472" spans="1:7" x14ac:dyDescent="0.25">
      <c r="A1472"/>
      <c r="G1472"/>
    </row>
    <row r="1473" spans="1:7" x14ac:dyDescent="0.25">
      <c r="A1473"/>
      <c r="G1473"/>
    </row>
    <row r="1474" spans="1:7" x14ac:dyDescent="0.25">
      <c r="A1474"/>
      <c r="G1474"/>
    </row>
    <row r="1475" spans="1:7" x14ac:dyDescent="0.25">
      <c r="A1475"/>
      <c r="G1475"/>
    </row>
    <row r="1476" spans="1:7" x14ac:dyDescent="0.25">
      <c r="A1476"/>
      <c r="G1476"/>
    </row>
    <row r="1477" spans="1:7" x14ac:dyDescent="0.25">
      <c r="A1477"/>
      <c r="G1477"/>
    </row>
    <row r="1478" spans="1:7" x14ac:dyDescent="0.25">
      <c r="A1478"/>
      <c r="G1478"/>
    </row>
    <row r="1479" spans="1:7" x14ac:dyDescent="0.25">
      <c r="A1479"/>
      <c r="G1479"/>
    </row>
    <row r="1480" spans="1:7" x14ac:dyDescent="0.25">
      <c r="A1480"/>
      <c r="G1480"/>
    </row>
    <row r="1481" spans="1:7" x14ac:dyDescent="0.25">
      <c r="A1481"/>
      <c r="G1481"/>
    </row>
    <row r="1482" spans="1:7" x14ac:dyDescent="0.25">
      <c r="A1482"/>
      <c r="G1482"/>
    </row>
    <row r="1483" spans="1:7" x14ac:dyDescent="0.25">
      <c r="A1483"/>
      <c r="G1483"/>
    </row>
    <row r="1484" spans="1:7" x14ac:dyDescent="0.25">
      <c r="A1484"/>
      <c r="G1484"/>
    </row>
    <row r="1485" spans="1:7" x14ac:dyDescent="0.25">
      <c r="A1485"/>
      <c r="G1485"/>
    </row>
    <row r="1486" spans="1:7" x14ac:dyDescent="0.25">
      <c r="A1486"/>
      <c r="G1486"/>
    </row>
    <row r="1487" spans="1:7" x14ac:dyDescent="0.25">
      <c r="A1487"/>
      <c r="G1487"/>
    </row>
    <row r="1488" spans="1:7" x14ac:dyDescent="0.25">
      <c r="A1488"/>
      <c r="G1488"/>
    </row>
    <row r="1489" spans="1:7" x14ac:dyDescent="0.25">
      <c r="A1489"/>
      <c r="G1489"/>
    </row>
    <row r="1490" spans="1:7" x14ac:dyDescent="0.25">
      <c r="A1490"/>
      <c r="G1490"/>
    </row>
    <row r="1491" spans="1:7" x14ac:dyDescent="0.25">
      <c r="A1491"/>
      <c r="G1491"/>
    </row>
    <row r="1492" spans="1:7" x14ac:dyDescent="0.25">
      <c r="A1492"/>
      <c r="G1492"/>
    </row>
    <row r="1493" spans="1:7" x14ac:dyDescent="0.25">
      <c r="A1493"/>
      <c r="G1493"/>
    </row>
    <row r="1494" spans="1:7" x14ac:dyDescent="0.25">
      <c r="A1494"/>
      <c r="G1494"/>
    </row>
    <row r="1495" spans="1:7" x14ac:dyDescent="0.25">
      <c r="A1495"/>
      <c r="G1495"/>
    </row>
    <row r="1496" spans="1:7" x14ac:dyDescent="0.25">
      <c r="A1496"/>
      <c r="G1496"/>
    </row>
    <row r="1497" spans="1:7" x14ac:dyDescent="0.25">
      <c r="A1497"/>
      <c r="G1497"/>
    </row>
    <row r="1498" spans="1:7" x14ac:dyDescent="0.25">
      <c r="A1498"/>
      <c r="G1498"/>
    </row>
    <row r="1499" spans="1:7" x14ac:dyDescent="0.25">
      <c r="A1499"/>
      <c r="G1499"/>
    </row>
    <row r="1500" spans="1:7" x14ac:dyDescent="0.25">
      <c r="A1500"/>
      <c r="G1500"/>
    </row>
  </sheetData>
  <dataConsolidate link="1"/>
  <conditionalFormatting sqref="G1:G13">
    <cfRule type="cellIs" dxfId="1" priority="1" operator="equal">
      <formula>0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_2020!$D$13" r:id="rId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8</xdr:col>
                <xdr:colOff>561975</xdr:colOff>
                <xdr:row>13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Rapporti!$A:$A</xm:f>
          </x14:formula1>
          <xm:sqref>F1:F13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C13"/>
  <sheetViews>
    <sheetView workbookViewId="0">
      <selection activeCell="C12" sqref="C12"/>
    </sheetView>
  </sheetViews>
  <sheetFormatPr defaultRowHeight="15" x14ac:dyDescent="0.25"/>
  <cols>
    <col min="2" max="3" width="9.140625" style="8"/>
  </cols>
  <sheetData>
    <row r="1" spans="1:3" x14ac:dyDescent="0.25">
      <c r="A1" t="s">
        <v>125</v>
      </c>
      <c r="B1" s="8" t="s">
        <v>126</v>
      </c>
      <c r="C1" s="8" t="s">
        <v>127</v>
      </c>
    </row>
    <row r="2" spans="1:3" x14ac:dyDescent="0.25">
      <c r="A2" t="s">
        <v>128</v>
      </c>
      <c r="B2" s="8">
        <v>3</v>
      </c>
      <c r="C2" s="8">
        <f>SUMIF($A$2:$A2,Tabella1[[#This Row],[Product]],$B$2:$B2)</f>
        <v>3</v>
      </c>
    </row>
    <row r="3" spans="1:3" x14ac:dyDescent="0.25">
      <c r="A3" t="s">
        <v>128</v>
      </c>
      <c r="B3" s="8">
        <v>4</v>
      </c>
      <c r="C3" s="8">
        <f>SUMIF($A$2:$A3,Tabella1[[#This Row],[Product]],$B$2:$B3)</f>
        <v>7</v>
      </c>
    </row>
    <row r="4" spans="1:3" x14ac:dyDescent="0.25">
      <c r="A4" t="s">
        <v>129</v>
      </c>
      <c r="B4" s="8">
        <v>23</v>
      </c>
      <c r="C4" s="8">
        <f>SUMIF($A$2:$A4,Tabella1[[#This Row],[Product]],$B$2:$B4)</f>
        <v>23</v>
      </c>
    </row>
    <row r="5" spans="1:3" x14ac:dyDescent="0.25">
      <c r="A5" t="s">
        <v>128</v>
      </c>
      <c r="B5" s="8">
        <v>2</v>
      </c>
      <c r="C5" s="8">
        <f>SUMIF($A$2:$A5,Tabella1[[#This Row],[Product]],$B$2:$B5)</f>
        <v>9</v>
      </c>
    </row>
    <row r="6" spans="1:3" x14ac:dyDescent="0.25">
      <c r="A6" t="s">
        <v>128</v>
      </c>
      <c r="B6" s="8">
        <v>1</v>
      </c>
      <c r="C6" s="8">
        <f>SUMIF($A$2:$A6,Tabella1[[#This Row],[Product]],$B$2:$B6)</f>
        <v>10</v>
      </c>
    </row>
    <row r="7" spans="1:3" x14ac:dyDescent="0.25">
      <c r="A7" t="s">
        <v>129</v>
      </c>
      <c r="B7" s="8">
        <v>3</v>
      </c>
      <c r="C7" s="8">
        <f>SUMIF($A$2:$A7,Tabella1[[#This Row],[Product]],$B$2:$B7)</f>
        <v>26</v>
      </c>
    </row>
    <row r="8" spans="1:3" x14ac:dyDescent="0.25">
      <c r="A8" t="s">
        <v>128</v>
      </c>
      <c r="B8" s="8">
        <v>1</v>
      </c>
      <c r="C8" s="8">
        <f>SUMIF($A$2:$A8,Tabella1[[#This Row],[Product]],$B$2:$B8)</f>
        <v>11</v>
      </c>
    </row>
    <row r="9" spans="1:3" x14ac:dyDescent="0.25">
      <c r="A9" t="s">
        <v>129</v>
      </c>
      <c r="B9" s="8">
        <v>2</v>
      </c>
      <c r="C9" s="8">
        <f>SUMIF($A$2:$A9,Tabella1[[#This Row],[Product]],$B$2:$B9)</f>
        <v>28</v>
      </c>
    </row>
    <row r="10" spans="1:3" x14ac:dyDescent="0.25">
      <c r="A10" t="s">
        <v>128</v>
      </c>
      <c r="B10" s="8">
        <v>1</v>
      </c>
      <c r="C10" s="8">
        <f>SUMIF($A$2:$A10,Tabella1[[#This Row],[Product]],$B$2:$B10)</f>
        <v>12</v>
      </c>
    </row>
    <row r="11" spans="1:3" x14ac:dyDescent="0.25">
      <c r="A11" t="s">
        <v>128</v>
      </c>
      <c r="B11" s="8">
        <v>1</v>
      </c>
      <c r="C11" s="8">
        <f>SUMIF($A$2:$A11,Tabella1[[#This Row],[Product]],$B$2:$B11)</f>
        <v>13</v>
      </c>
    </row>
    <row r="12" spans="1:3" x14ac:dyDescent="0.25">
      <c r="A12" t="s">
        <v>128</v>
      </c>
      <c r="B12" s="8">
        <v>1</v>
      </c>
      <c r="C12" s="8">
        <f>SUMIF($A$2:$A12,Tabella1[[#This Row],[Product]],$B$2:$B12)</f>
        <v>14</v>
      </c>
    </row>
    <row r="13" spans="1:3" x14ac:dyDescent="0.25">
      <c r="A13" t="s">
        <v>128</v>
      </c>
      <c r="B13" s="8">
        <v>1</v>
      </c>
      <c r="C13" s="8">
        <f>SUMIF($A$2:$A13,Tabella1[[#This Row],[Product]],$B$2:$B13)</f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111</v>
      </c>
    </row>
    <row r="2" spans="1:1" x14ac:dyDescent="0.25">
      <c r="A2" t="s">
        <v>112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3"/>
  <sheetViews>
    <sheetView workbookViewId="0">
      <selection activeCell="A12" sqref="A12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113</v>
      </c>
    </row>
    <row r="2" spans="1:1" x14ac:dyDescent="0.25">
      <c r="A2" s="5" t="s">
        <v>114</v>
      </c>
    </row>
    <row r="3" spans="1:1" x14ac:dyDescent="0.25">
      <c r="A3" t="s">
        <v>184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VociRendiconto</vt:lpstr>
      <vt:lpstr>Cassa_2020</vt:lpstr>
      <vt:lpstr>Bilancio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2021-02-18T23:13:19Z</dcterms:modified>
</cp:coreProperties>
</file>